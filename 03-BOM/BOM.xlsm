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OM" sheetId="1" r:id="rId4"/>
  </sheets>
  <definedNames/>
  <calcPr/>
  <extLst>
    <ext uri="GoogleSheetsCustomDataVersion2">
      <go:sheetsCustomData xmlns:go="http://customooxmlschemas.google.com/" r:id="rId5" roundtripDataChecksum="byVig+8Zozjd1l1JpONsJea+K5KRolhQnGddOYPPngQ="/>
    </ext>
  </extLst>
</workbook>
</file>

<file path=xl/sharedStrings.xml><?xml version="1.0" encoding="utf-8"?>
<sst xmlns="http://schemas.openxmlformats.org/spreadsheetml/2006/main" count="250" uniqueCount="200">
  <si>
    <t>Part Name/Description</t>
  </si>
  <si>
    <t>Unit Quantity</t>
  </si>
  <si>
    <t>Unit Prototype Cost</t>
  </si>
  <si>
    <t>Total Prototype Cost</t>
  </si>
  <si>
    <t>Unit Production Cost</t>
  </si>
  <si>
    <t>Total Production Cost</t>
  </si>
  <si>
    <t>Manufacturer</t>
  </si>
  <si>
    <t>Manufacturer Part #</t>
  </si>
  <si>
    <t>Vendor Link</t>
  </si>
  <si>
    <t>Datasheet Link</t>
  </si>
  <si>
    <t>Supplier</t>
  </si>
  <si>
    <t>Supplier Part #</t>
  </si>
  <si>
    <t>Order Date</t>
  </si>
  <si>
    <t>Order #</t>
  </si>
  <si>
    <t>Received</t>
  </si>
  <si>
    <t>Surplus</t>
  </si>
  <si>
    <t>Schematic Reference Designators</t>
  </si>
  <si>
    <t>0.1 uF Ceramic Capacitor, ±10%, X7R, 50 V, radial THT</t>
  </si>
  <si>
    <t>TDK</t>
  </si>
  <si>
    <t>FG28X7R1H104KNT00</t>
  </si>
  <si>
    <t>https://www.digikey.com/en/products/detail/tdk/FG28X7R1H104KNT00/7326852</t>
  </si>
  <si>
    <t>https://product.tdk.com/en/system/files/dam/doc/product/capacitor/ceramic/lead-mlcc/catalog/leadmlcc_halogenfree_fg_en.pdf</t>
  </si>
  <si>
    <t>DigiKey</t>
  </si>
  <si>
    <t>445-FG28X7R1H104KNT00-ND</t>
  </si>
  <si>
    <t>C1,C5,C6,C7,C9,C10,C14,C15</t>
  </si>
  <si>
    <t>10 uF Aluminum Electrolytic Capacitor, ±20%, 50 V, radial THT</t>
  </si>
  <si>
    <t>Nichicon</t>
  </si>
  <si>
    <t>UBW1H100MPD1TA</t>
  </si>
  <si>
    <t>https://www.digikey.com/en/products/detail/nichicon/UBW1H100MPD1TA/4991783</t>
  </si>
  <si>
    <t>https://www.nichicon.co.jp/english/series_items/catalog_pdf/e-ubw.pdf</t>
  </si>
  <si>
    <t>493-UBW1H100MPD1TA-ND</t>
  </si>
  <si>
    <t>C2,C3,C4</t>
  </si>
  <si>
    <t>0.33 uF Ceramic Capacitor, ±10%, X7R, 50 V, radial THT</t>
  </si>
  <si>
    <t>FA14X7R1H334KNU06</t>
  </si>
  <si>
    <t>https://www.digikey.com/en/products/detail/tdk/FA14X7R1H334KNU06/5865807</t>
  </si>
  <si>
    <t>https://product.tdk.com/system/files/dam/doc/product/capacitor/ceramic/lead-disk/catalog/fa_en.pdf</t>
  </si>
  <si>
    <t>445-180408-1-ND</t>
  </si>
  <si>
    <t>C8</t>
  </si>
  <si>
    <t>1 uF Aluminum Electrolytic Capacitor, ±20%, 50 V, radial THT</t>
  </si>
  <si>
    <t>Cornell Dubilier Knowles</t>
  </si>
  <si>
    <t>105CKR050M</t>
  </si>
  <si>
    <t>https://www.digikey.com/en/products/detail/cornell-dubilier-knowles/105CKR050M/5410527</t>
  </si>
  <si>
    <t>https://www.cde.com/resources/catalogs/CKR_CKS.pdf</t>
  </si>
  <si>
    <t>105CKR050M-ND</t>
  </si>
  <si>
    <t>C12</t>
  </si>
  <si>
    <t>470 uF Aluminum Electrolytic Capacitor, ±20%, 50 V, radial THT</t>
  </si>
  <si>
    <t>UVK1H471MPD</t>
  </si>
  <si>
    <t>https://www.digikey.com/en/products/detail/nichicon/UVK1H471MPD/2539414</t>
  </si>
  <si>
    <t>https://www.nichicon.co.jp/english/products/pdfs/e-uvk.pdf</t>
  </si>
  <si>
    <t>493-UVK1H471MPD-ND</t>
  </si>
  <si>
    <t>C13</t>
  </si>
  <si>
    <t>5 mm Red LED, through-hole</t>
  </si>
  <si>
    <t>Kingbright</t>
  </si>
  <si>
    <t>WP1503SURDK</t>
  </si>
  <si>
    <t>https://www.digikey.com/en/products/detail/kingbright/WP1503SURDK/16602200</t>
  </si>
  <si>
    <t>https://www.kingbrightusa.com/images/catalog/SPEC/WP1503SURDK.pdf</t>
  </si>
  <si>
    <t>754-WP1503SURDK-ND</t>
  </si>
  <si>
    <t>D1,D4</t>
  </si>
  <si>
    <t>1N4148 Small-Signal Diode, DO-35 axial THT</t>
  </si>
  <si>
    <t>Diotec Semiconductor</t>
  </si>
  <si>
    <t>1N4148</t>
  </si>
  <si>
    <t>https://www.digikey.com/en/products/detail/diotec-semiconductor/1N4148/21380193</t>
  </si>
  <si>
    <t>https://diotec.com/request/datasheet/1n4148.pdf</t>
  </si>
  <si>
    <t>4878-1N4148CT-ND</t>
  </si>
  <si>
    <t>D2,D3</t>
  </si>
  <si>
    <t>5 mm Blue LED, through-hole</t>
  </si>
  <si>
    <t>WP7113QBD/D</t>
  </si>
  <si>
    <t>https://www.digikey.com/en/products/detail/kingbright/WP7113QBD-D/20381506</t>
  </si>
  <si>
    <t>https://www.kingbrightusa.com/images/catalog/SPEC/WP7113QBD-D.pdf</t>
  </si>
  <si>
    <t>754-WP7113QBD/D-ND</t>
  </si>
  <si>
    <t>D5</t>
  </si>
  <si>
    <t>10-bit SPI DAC, 8-PDIP through-hole</t>
  </si>
  <si>
    <t>Microchip Technology</t>
  </si>
  <si>
    <t>MCP4911-E/P</t>
  </si>
  <si>
    <t>https://www.digikey.com/en/products/detail/microchip-technology/MCP4911-E-P/2332826</t>
  </si>
  <si>
    <t>https://ww1.microchip.com/downloads/en/DeviceDoc/22248a.pdf</t>
  </si>
  <si>
    <t>MCP4911-E/P-ND</t>
  </si>
  <si>
    <t>DAC</t>
  </si>
  <si>
    <t>Fuse Block Cart 600V 15A PCB</t>
  </si>
  <si>
    <t>Littelfuse Inc.</t>
  </si>
  <si>
    <t xml:space="preserve">03540101ZXGY </t>
  </si>
  <si>
    <t>https://www.digikey.com/en/products/detail/littelfuse-inc/03540101ZXGY/553974</t>
  </si>
  <si>
    <t>https://www.littelfuse.com/assetdocs/354-omni-blok-series-datasheet?assetguid=6E94C133-AD48-47B7-8FFF-80EA6C66704D</t>
  </si>
  <si>
    <t>354101-GY</t>
  </si>
  <si>
    <t>F1</t>
  </si>
  <si>
    <t>750mA Fuse</t>
  </si>
  <si>
    <t>0312.750MXP</t>
  </si>
  <si>
    <t>https://www.digikey.com/en/products/detail/littelfuse-inc/0312-750MXP/778266</t>
  </si>
  <si>
    <t>https://www.littelfuse.com/assetdocs/fuse-312-and-318-datasheet?assetguid=93D513CB-FAFC-4ADB-9054-E0A0CBCF2875</t>
  </si>
  <si>
    <t>Digikey</t>
  </si>
  <si>
    <t>F4782</t>
  </si>
  <si>
    <t>4 Ohm 2 W Speaker, wire leads</t>
  </si>
  <si>
    <t>Same Sky (formerly CUI Devices)</t>
  </si>
  <si>
    <t>CMS-40504N-L152</t>
  </si>
  <si>
    <t>https://www.digikey.com/en/products/detail/same-sky-formerly-cui-devices/CMS-40504N-L152/6137739</t>
  </si>
  <si>
    <t>https://www.sameskydevices.com/product/resource/cms-40504n-l152.pdf</t>
  </si>
  <si>
    <t>102-3846</t>
  </si>
  <si>
    <t>Off-board speaker</t>
  </si>
  <si>
    <t>2-position 5.08 mm Screw Terminal Block, THT</t>
  </si>
  <si>
    <t>TB004-508-02BE</t>
  </si>
  <si>
    <t>https://www.digikey.com/en/products/detail/same-sky-formerly-cui-devices/TB004-508-02BE/10064103</t>
  </si>
  <si>
    <t>https://www.sameskydevices.com/product/resource/tb004-508.pdf</t>
  </si>
  <si>
    <t>102-6179-ND</t>
  </si>
  <si>
    <t>J1</t>
  </si>
  <si>
    <t>Switched DC Barrel Jack, 2.0 mm ID / 5.5 mm OD, THT</t>
  </si>
  <si>
    <t>PJ-102A</t>
  </si>
  <si>
    <t>https://www.digikey.com/en/products/detail/same-sky-formerly-cui-devices/PJ-102A/275425</t>
  </si>
  <si>
    <t>https://www.sameskydevices.com/product/resource/pj-102a.pdf</t>
  </si>
  <si>
    <t>CP-102A-ND</t>
  </si>
  <si>
    <t>J3</t>
  </si>
  <si>
    <t>1x6 2.54 mm Male Header, through-hole</t>
  </si>
  <si>
    <t>Sullins Connector Solutions</t>
  </si>
  <si>
    <t>PRPC006SAAN-RC</t>
  </si>
  <si>
    <t>https://www.digikey.com/en/products/detail/sullins-connector-solutions/PRPC006SAAN-RC/2775248</t>
  </si>
  <si>
    <t>https://www.sullinscorp.com/catalogs/82_PAGE90-91_.100_MALE_HDR.pdf</t>
  </si>
  <si>
    <t>35-PRPC006SAAN-RC-ND</t>
  </si>
  <si>
    <t>J4</t>
  </si>
  <si>
    <t>2x4 2.54 mm Male Header, through-hole</t>
  </si>
  <si>
    <t>PRPC004DAAN-RC</t>
  </si>
  <si>
    <t>https://www.digikey.com/en/products/detail/sullins-connector-solutions/PRPC004DAAN-RC/2775290</t>
  </si>
  <si>
    <t>35-PRPC004DAAN-RC-ND</t>
  </si>
  <si>
    <t>J5</t>
  </si>
  <si>
    <t>1x3 2.54 mm Jumper Header, through-hole</t>
  </si>
  <si>
    <t>PRPC003SAAN-RC</t>
  </si>
  <si>
    <t>https://www.digikey.com/en/products/detail/sullins-connector-solutions/PRPC003SAAN-RC/2775251</t>
  </si>
  <si>
    <t>35-PRPC003SAAN-RC-ND</t>
  </si>
  <si>
    <t>JP2</t>
  </si>
  <si>
    <t>PNP Power Transistor, 80 V 1.5 A, TO-126/SOT-32 THT</t>
  </si>
  <si>
    <t>STMicroelectronics</t>
  </si>
  <si>
    <t>BD140-16</t>
  </si>
  <si>
    <t>https://www.digikey.com/en/products/detail/stmicroelectronics/BD140-16/3945995</t>
  </si>
  <si>
    <t>https://www.st.com/resource/en/datasheet/bd140.pdf</t>
  </si>
  <si>
    <t>497-14760-5-ND</t>
  </si>
  <si>
    <t>Q1</t>
  </si>
  <si>
    <t>NPN Power Transistor, 80 V 1.5 A, TO-126/SOT-32 THT</t>
  </si>
  <si>
    <t>BD139-16</t>
  </si>
  <si>
    <t>https://www.digikey.com/en/products/detail/stmicroelectronics/BD139-16/2529325</t>
  </si>
  <si>
    <t>https://www.st.com/resource/en/datasheet/bd139.pdf</t>
  </si>
  <si>
    <t>497-12750-5-ND</t>
  </si>
  <si>
    <t>Q2</t>
  </si>
  <si>
    <t>1 kOhm Resistor, ±5%, 1/4 W, axial THT</t>
  </si>
  <si>
    <t>YAGEO</t>
  </si>
  <si>
    <t>CFR-25JB-52-1K</t>
  </si>
  <si>
    <t>https://www.digikey.com/en/products/detail/yageo/CFR-25JB-52-1K/96</t>
  </si>
  <si>
    <t>https://www.yageo.com/upload/media/product/productsearch/datasheet/rchip/PYu-R_CFR_1.pdf</t>
  </si>
  <si>
    <t>1.0KQBK-ND</t>
  </si>
  <si>
    <t>R1,R2,R10,R11</t>
  </si>
  <si>
    <t>10 kOhm Resistor, ±5%, 1/4 W, axial THT</t>
  </si>
  <si>
    <t>CFR-25JB-52-10K</t>
  </si>
  <si>
    <t>https://www.digikey.com/en/products/detail/yageo/CFR-25JB-52-10K/</t>
  </si>
  <si>
    <t>13-CFR-25JB-52-10K-ND</t>
  </si>
  <si>
    <t>R3,R4,R12</t>
  </si>
  <si>
    <t>100 kOhm Resistor, ±5%, 1/4 W, axial THT</t>
  </si>
  <si>
    <t>CFR-25JB-52-100K</t>
  </si>
  <si>
    <t>https://www.digikey.com/en/products/detail/yageo/CFR-25JB-52-100K/</t>
  </si>
  <si>
    <t>13-CFR-25JB-52-100K-ND</t>
  </si>
  <si>
    <t>R5</t>
  </si>
  <si>
    <t>2.2 kOhm Resistor, ±5%, 1/4 W, axial THT</t>
  </si>
  <si>
    <t>CFR-25JB-52-2K2</t>
  </si>
  <si>
    <t>https://www.digikey.com/en/products/detail/yageo/CFR-25JB-52-2K2/</t>
  </si>
  <si>
    <t>2.2KQBK-ND</t>
  </si>
  <si>
    <t>R6,R7</t>
  </si>
  <si>
    <t>100 Ohm Resistor, ±5%, 1/4 W, axial THT</t>
  </si>
  <si>
    <t>CFR-25JB-52-100R</t>
  </si>
  <si>
    <t>https://www.digikey.com/en/products/detail/yageo/CFR-25JB-52-100R/</t>
  </si>
  <si>
    <t>100QBK-ND</t>
  </si>
  <si>
    <t>R8,R9</t>
  </si>
  <si>
    <t>SPST-NO Momentary Pushbutton, through-hole</t>
  </si>
  <si>
    <t>C&amp;K</t>
  </si>
  <si>
    <t>KS11R22CQD</t>
  </si>
  <si>
    <t>https://www.digikey.com/en/products/detail/c-k/KS11R22CQD/332670</t>
  </si>
  <si>
    <t>https://www.ckswitches.com/media/1467/ks.pdf</t>
  </si>
  <si>
    <t>CKN4080-ND</t>
  </si>
  <si>
    <t>SW3</t>
  </si>
  <si>
    <t>PC Test Point, multipurpose, through-hole</t>
  </si>
  <si>
    <t>Keystone Electronics</t>
  </si>
  <si>
    <t>5010</t>
  </si>
  <si>
    <t>https://www.digikey.com/en/products/detail/keystone-electronics/5010/255332</t>
  </si>
  <si>
    <t>https://www.keyelco.com/product.cfm/product_id/274</t>
  </si>
  <si>
    <t>36-5010-ND</t>
  </si>
  <si>
    <t>TP1,TP2,TP3,TP4,TP5,TP6,TP7</t>
  </si>
  <si>
    <t>PIC18F57Q43 Curiosity Nano Development Board</t>
  </si>
  <si>
    <t>DM164150</t>
  </si>
  <si>
    <t>https://www.digikey.com/en/products/detail/microchip-technology/DM164150/11586705</t>
  </si>
  <si>
    <t>https://ww1.microchip.com/downloads/en/DeviceDoc/PIC18F57Q43-Curiosity-Nano-HW-UserGuide-DS40002186B.pdf</t>
  </si>
  <si>
    <t>150-DM164150-ND</t>
  </si>
  <si>
    <t>U1</t>
  </si>
  <si>
    <t>5 V Linear Regulator, 1.5 A, TO-220 through-hole</t>
  </si>
  <si>
    <t>L7805CV</t>
  </si>
  <si>
    <t>https://www.digikey.com/en/products/detail/stmicroelectronics/L7805CV/585964</t>
  </si>
  <si>
    <t>https://www.st.com/resource/en/datasheet/l7805.pdf</t>
  </si>
  <si>
    <t>497-1443-5-ND</t>
  </si>
  <si>
    <t>U3</t>
  </si>
  <si>
    <t>Quad Rail-to-Rail Op Amp, 14-PDIP through-hole</t>
  </si>
  <si>
    <t>MCP6004-I/P</t>
  </si>
  <si>
    <t>https://www.digikey.com/en/products/detail/microchip-technology/MCP6004-I-P/523060</t>
  </si>
  <si>
    <t>https://ww1.microchip.com/downloads/en/DeviceDoc/21733j.pdf</t>
  </si>
  <si>
    <t>MCP6004-I/P-ND</t>
  </si>
  <si>
    <t xml:space="preserve">U2A-U2E </t>
  </si>
  <si>
    <t>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</si>
</sst>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$0.00"/>
  </numFmts>
  <fonts count="9">
    <font>
      <sz val="11.0"/>
      <color rgb="FF000000"/>
      <name val="Carlito"/>
      <scheme val="minor"/>
    </font>
    <font>
      <b/>
      <sz val="11.0"/>
      <color rgb="FF000000"/>
      <name val="Carlito"/>
    </font>
    <font>
      <sz val="11.0"/>
      <color theme="1"/>
      <name val="Carlito"/>
    </font>
    <font>
      <u/>
      <sz val="11.0"/>
      <color rgb="FF467886"/>
      <name val="Carlito"/>
    </font>
    <font>
      <u/>
      <sz val="11.0"/>
      <color rgb="FF0000FF"/>
      <name val="Carlito"/>
    </font>
    <font>
      <color theme="1"/>
      <name val="Carlito"/>
      <scheme val="minor"/>
    </font>
    <font>
      <u/>
      <sz val="11.0"/>
      <color rgb="FF0000FF"/>
      <name val="Carlito"/>
    </font>
    <font>
      <b/>
      <sz val="11.0"/>
      <color theme="1"/>
      <name val="Carlito"/>
    </font>
    <font>
      <i/>
      <sz val="11.0"/>
      <color theme="1"/>
      <name val="Carlito"/>
    </font>
  </fonts>
  <fills count="4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</fills>
  <borders count="1">
    <border/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164" xfId="0" applyAlignment="1" applyFont="1" applyNumberFormat="1">
      <alignment shrinkToFit="0" vertical="center" wrapText="1"/>
    </xf>
    <xf borderId="0" fillId="0" fontId="3" numFmtId="0" xfId="0" applyAlignment="1" applyFont="1">
      <alignment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2" numFmtId="164" xfId="0" applyAlignment="1" applyFont="1" applyNumberFormat="1">
      <alignment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5" numFmtId="0" xfId="0" applyAlignment="1" applyFont="1">
      <alignment readingOrder="0"/>
    </xf>
    <xf borderId="0" fillId="0" fontId="6" numFmtId="0" xfId="0" applyAlignment="1" applyFont="1">
      <alignment readingOrder="0" shrinkToFit="0" vertical="center" wrapText="1"/>
    </xf>
    <xf borderId="0" fillId="3" fontId="7" numFmtId="0" xfId="0" applyAlignment="1" applyFill="1" applyFont="1">
      <alignment shrinkToFit="0" wrapText="1"/>
    </xf>
    <xf borderId="0" fillId="3" fontId="7" numFmtId="164" xfId="0" applyAlignment="1" applyFill="1" applyFont="1" applyNumberFormat="1">
      <alignment shrinkToFit="0" wrapText="1"/>
    </xf>
    <xf borderId="0" fillId="0" fontId="8" numFmtId="0" xfId="0" applyAlignment="1" applyFont="1">
      <alignment shrinkToFit="0" wrapText="1"/>
    </xf>
    <xf borderId="0" fillId="0" fontId="2" numFmtId="0" xfId="0" applyAlignment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20" Type="http://schemas.openxmlformats.org/officeDocument/2006/relationships/hyperlink" Target="https://www.digikey.com/en/products/detail/yageo/CFR-25JB-52-10K/" TargetMode="External"/><Relationship Id="rId22" Type="http://schemas.openxmlformats.org/officeDocument/2006/relationships/hyperlink" Target="https://www.digikey.com/en/products/detail/yageo/CFR-25JB-52-2K2/" TargetMode="External"/><Relationship Id="rId21" Type="http://schemas.openxmlformats.org/officeDocument/2006/relationships/hyperlink" Target="https://www.digikey.com/en/products/detail/yageo/CFR-25JB-52-100K/" TargetMode="External"/><Relationship Id="rId24" Type="http://schemas.openxmlformats.org/officeDocument/2006/relationships/hyperlink" Target="https://www.digikey.com/en/products/detail/keystone-electronics/5010/255332" TargetMode="External"/><Relationship Id="rId23" Type="http://schemas.openxmlformats.org/officeDocument/2006/relationships/hyperlink" Target="https://www.digikey.com/en/products/detail/yageo/CFR-25JB-52-100R/" TargetMode="External"/><Relationship Id="rId1" Type="http://schemas.openxmlformats.org/officeDocument/2006/relationships/hyperlink" Target="https://www.digikey.com/en/products/detail/tdk/FG28X7R1H104KNT00/7326852" TargetMode="External"/><Relationship Id="rId2" Type="http://schemas.openxmlformats.org/officeDocument/2006/relationships/hyperlink" Target="https://product.tdk.com/en/system/files/dam/doc/product/capacitor/ceramic/lead-mlcc/catalog/leadmlcc_halogenfree_fg_en.pdf" TargetMode="External"/><Relationship Id="rId3" Type="http://schemas.openxmlformats.org/officeDocument/2006/relationships/hyperlink" Target="https://www.digikey.com/en/products/detail/nichicon/UBW1H100MPD1TA/4991783" TargetMode="External"/><Relationship Id="rId4" Type="http://schemas.openxmlformats.org/officeDocument/2006/relationships/hyperlink" Target="https://www.nichicon.co.jp/english/series_items/catalog_pdf/e-ubw.pdf" TargetMode="External"/><Relationship Id="rId9" Type="http://schemas.openxmlformats.org/officeDocument/2006/relationships/hyperlink" Target="https://www.digikey.com/en/products/detail/nichicon/UVK1H471MPD/2539414" TargetMode="External"/><Relationship Id="rId25" Type="http://schemas.openxmlformats.org/officeDocument/2006/relationships/drawing" Target="../drawings/drawing1.xml"/><Relationship Id="rId5" Type="http://schemas.openxmlformats.org/officeDocument/2006/relationships/hyperlink" Target="https://www.digikey.com/en/products/detail/tdk/FA14X7R1H334KNU06/5865807" TargetMode="External"/><Relationship Id="rId6" Type="http://schemas.openxmlformats.org/officeDocument/2006/relationships/hyperlink" Target="https://product.tdk.com/system/files/dam/doc/product/capacitor/ceramic/lead-disk/catalog/fa_en.pdf" TargetMode="External"/><Relationship Id="rId7" Type="http://schemas.openxmlformats.org/officeDocument/2006/relationships/hyperlink" Target="https://www.digikey.com/en/products/detail/cornell-dubilier-knowles/105CKR050M/5410527" TargetMode="External"/><Relationship Id="rId8" Type="http://schemas.openxmlformats.org/officeDocument/2006/relationships/hyperlink" Target="https://www.cde.com/resources/catalogs/CKR_CKS.pdf" TargetMode="External"/><Relationship Id="rId11" Type="http://schemas.openxmlformats.org/officeDocument/2006/relationships/hyperlink" Target="https://www.digikey.com/en/products/detail/kingbright/WP1503SURDK/16602200" TargetMode="External"/><Relationship Id="rId10" Type="http://schemas.openxmlformats.org/officeDocument/2006/relationships/hyperlink" Target="https://www.nichicon.co.jp/english/products/pdfs/e-uvk.pdf" TargetMode="External"/><Relationship Id="rId13" Type="http://schemas.openxmlformats.org/officeDocument/2006/relationships/hyperlink" Target="https://www.digikey.com/en/products/detail/littelfuse-inc/03540101ZXGY/553974" TargetMode="External"/><Relationship Id="rId12" Type="http://schemas.openxmlformats.org/officeDocument/2006/relationships/hyperlink" Target="https://www.digikey.com/en/products/detail/diotec-semiconductor/1N4148/21380193" TargetMode="External"/><Relationship Id="rId15" Type="http://schemas.openxmlformats.org/officeDocument/2006/relationships/hyperlink" Target="https://www.digikey.com/en/products/detail/littelfuse-inc/0312-750MXP/778266" TargetMode="External"/><Relationship Id="rId14" Type="http://schemas.openxmlformats.org/officeDocument/2006/relationships/hyperlink" Target="https://www.littelfuse.com/assetdocs/354-omni-blok-series-datasheet?assetguid=6E94C133-AD48-47B7-8FFF-80EA6C66704D" TargetMode="External"/><Relationship Id="rId17" Type="http://schemas.openxmlformats.org/officeDocument/2006/relationships/hyperlink" Target="https://www.digikey.com/en/products/detail/same-sky-formerly-cui-devices/CMS-40504N-L152/6137739" TargetMode="External"/><Relationship Id="rId16" Type="http://schemas.openxmlformats.org/officeDocument/2006/relationships/hyperlink" Target="https://www.littelfuse.com/assetdocs/fuse-312-and-318-datasheet?assetguid=93D513CB-FAFC-4ADB-9054-E0A0CBCF2875" TargetMode="External"/><Relationship Id="rId19" Type="http://schemas.openxmlformats.org/officeDocument/2006/relationships/hyperlink" Target="https://www.digikey.com/en/products/detail/yageo/CFR-25JB-52-1K/96" TargetMode="External"/><Relationship Id="rId18" Type="http://schemas.openxmlformats.org/officeDocument/2006/relationships/hyperlink" Target="https://www.sameskydevices.com/product/resource/cms-40504n-l15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44.0"/>
    <col customWidth="1" min="2" max="2" width="12.0"/>
    <col customWidth="1" min="3" max="3" width="16.0"/>
    <col customWidth="1" min="4" max="4" width="18.0"/>
    <col customWidth="1" min="5" max="5" width="17.0"/>
    <col customWidth="1" min="6" max="6" width="19.0"/>
    <col customWidth="1" min="7" max="7" width="25.0"/>
    <col customWidth="1" min="8" max="8" width="28.0"/>
    <col customWidth="1" min="9" max="10" width="42.0"/>
    <col customWidth="1" min="11" max="11" width="12.0"/>
    <col customWidth="1" min="12" max="12" width="24.0"/>
    <col customWidth="1" min="13" max="13" width="13.0"/>
    <col customWidth="1" min="14" max="14" width="11.0"/>
    <col customWidth="1" min="15" max="16" width="10.0"/>
    <col customWidth="1" min="17" max="17" width="34.0"/>
    <col customWidth="1" min="18" max="26" width="8.63"/>
  </cols>
  <sheetData>
    <row r="1" ht="37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ht="30.0" customHeight="1">
      <c r="A2" s="2" t="s">
        <v>17</v>
      </c>
      <c r="B2" s="2">
        <v>8.0</v>
      </c>
      <c r="C2" s="3">
        <v>0.23</v>
      </c>
      <c r="D2" s="3">
        <f t="shared" ref="D2:D11" si="1">B2*C2</f>
        <v>1.84</v>
      </c>
      <c r="E2" s="3">
        <v>0.23</v>
      </c>
      <c r="F2" s="3">
        <f t="shared" ref="F2:F30" si="2">B2*E2</f>
        <v>1.84</v>
      </c>
      <c r="G2" s="2" t="s">
        <v>18</v>
      </c>
      <c r="H2" s="2" t="s">
        <v>19</v>
      </c>
      <c r="I2" s="4" t="s">
        <v>20</v>
      </c>
      <c r="J2" s="5" t="s">
        <v>21</v>
      </c>
      <c r="K2" s="2" t="s">
        <v>22</v>
      </c>
      <c r="L2" s="2" t="s">
        <v>23</v>
      </c>
      <c r="M2" s="2"/>
      <c r="N2" s="2"/>
      <c r="O2" s="2"/>
      <c r="P2" s="2"/>
      <c r="Q2" s="2" t="s">
        <v>24</v>
      </c>
    </row>
    <row r="3" ht="30.0" customHeight="1">
      <c r="A3" s="2" t="s">
        <v>25</v>
      </c>
      <c r="B3" s="2">
        <v>3.0</v>
      </c>
      <c r="C3" s="3">
        <v>0.92</v>
      </c>
      <c r="D3" s="3">
        <f t="shared" si="1"/>
        <v>2.76</v>
      </c>
      <c r="E3" s="6">
        <v>0.92</v>
      </c>
      <c r="F3" s="3">
        <f t="shared" si="2"/>
        <v>2.76</v>
      </c>
      <c r="G3" s="2" t="s">
        <v>26</v>
      </c>
      <c r="H3" s="2" t="s">
        <v>27</v>
      </c>
      <c r="I3" s="5" t="s">
        <v>28</v>
      </c>
      <c r="J3" s="5" t="s">
        <v>29</v>
      </c>
      <c r="K3" s="2" t="s">
        <v>22</v>
      </c>
      <c r="L3" s="2" t="s">
        <v>30</v>
      </c>
      <c r="M3" s="2"/>
      <c r="N3" s="2"/>
      <c r="O3" s="2"/>
      <c r="P3" s="2"/>
      <c r="Q3" s="2" t="s">
        <v>31</v>
      </c>
    </row>
    <row r="4" ht="30.0" customHeight="1">
      <c r="A4" s="2" t="s">
        <v>32</v>
      </c>
      <c r="B4" s="2">
        <v>1.0</v>
      </c>
      <c r="C4" s="3">
        <v>0.4</v>
      </c>
      <c r="D4" s="3">
        <f t="shared" si="1"/>
        <v>0.4</v>
      </c>
      <c r="E4" s="6">
        <v>0.4</v>
      </c>
      <c r="F4" s="3">
        <f t="shared" si="2"/>
        <v>0.4</v>
      </c>
      <c r="G4" s="2" t="s">
        <v>18</v>
      </c>
      <c r="H4" s="2" t="s">
        <v>33</v>
      </c>
      <c r="I4" s="5" t="s">
        <v>34</v>
      </c>
      <c r="J4" s="5" t="s">
        <v>35</v>
      </c>
      <c r="K4" s="2" t="s">
        <v>22</v>
      </c>
      <c r="L4" s="2" t="s">
        <v>36</v>
      </c>
      <c r="M4" s="2"/>
      <c r="N4" s="2"/>
      <c r="O4" s="2"/>
      <c r="P4" s="2"/>
      <c r="Q4" s="2" t="s">
        <v>37</v>
      </c>
    </row>
    <row r="5" ht="30.0" customHeight="1">
      <c r="A5" s="2" t="s">
        <v>38</v>
      </c>
      <c r="B5" s="2">
        <v>1.0</v>
      </c>
      <c r="C5" s="3">
        <v>0.25</v>
      </c>
      <c r="D5" s="3">
        <f t="shared" si="1"/>
        <v>0.25</v>
      </c>
      <c r="E5" s="6">
        <v>0.25</v>
      </c>
      <c r="F5" s="3">
        <f t="shared" si="2"/>
        <v>0.25</v>
      </c>
      <c r="G5" s="2" t="s">
        <v>39</v>
      </c>
      <c r="H5" s="2" t="s">
        <v>40</v>
      </c>
      <c r="I5" s="5" t="s">
        <v>41</v>
      </c>
      <c r="J5" s="5" t="s">
        <v>42</v>
      </c>
      <c r="K5" s="2" t="s">
        <v>22</v>
      </c>
      <c r="L5" s="2" t="s">
        <v>43</v>
      </c>
      <c r="M5" s="2"/>
      <c r="N5" s="2"/>
      <c r="O5" s="2"/>
      <c r="P5" s="2"/>
      <c r="Q5" s="2" t="s">
        <v>44</v>
      </c>
    </row>
    <row r="6" ht="30.0" customHeight="1">
      <c r="A6" s="2" t="s">
        <v>45</v>
      </c>
      <c r="B6" s="2">
        <v>1.0</v>
      </c>
      <c r="C6" s="3">
        <v>1.11</v>
      </c>
      <c r="D6" s="3">
        <f t="shared" si="1"/>
        <v>1.11</v>
      </c>
      <c r="E6" s="6">
        <v>1.11</v>
      </c>
      <c r="F6" s="3">
        <f t="shared" si="2"/>
        <v>1.11</v>
      </c>
      <c r="G6" s="2" t="s">
        <v>26</v>
      </c>
      <c r="H6" s="2" t="s">
        <v>46</v>
      </c>
      <c r="I6" s="5" t="s">
        <v>47</v>
      </c>
      <c r="J6" s="5" t="s">
        <v>48</v>
      </c>
      <c r="K6" s="2" t="s">
        <v>22</v>
      </c>
      <c r="L6" s="2" t="s">
        <v>49</v>
      </c>
      <c r="M6" s="2"/>
      <c r="N6" s="2"/>
      <c r="O6" s="2"/>
      <c r="P6" s="2"/>
      <c r="Q6" s="2" t="s">
        <v>50</v>
      </c>
    </row>
    <row r="7" ht="30.0" customHeight="1">
      <c r="A7" s="2" t="s">
        <v>51</v>
      </c>
      <c r="B7" s="2">
        <v>2.0</v>
      </c>
      <c r="C7" s="3">
        <v>0.28</v>
      </c>
      <c r="D7" s="3">
        <f t="shared" si="1"/>
        <v>0.56</v>
      </c>
      <c r="E7" s="3">
        <v>0.1366</v>
      </c>
      <c r="F7" s="3">
        <f t="shared" si="2"/>
        <v>0.2732</v>
      </c>
      <c r="G7" s="2" t="s">
        <v>52</v>
      </c>
      <c r="H7" s="2" t="s">
        <v>53</v>
      </c>
      <c r="I7" s="5" t="s">
        <v>54</v>
      </c>
      <c r="J7" s="2" t="s">
        <v>55</v>
      </c>
      <c r="K7" s="2" t="s">
        <v>22</v>
      </c>
      <c r="L7" s="2" t="s">
        <v>56</v>
      </c>
      <c r="M7" s="2"/>
      <c r="N7" s="2"/>
      <c r="O7" s="2"/>
      <c r="P7" s="2"/>
      <c r="Q7" s="2" t="s">
        <v>57</v>
      </c>
    </row>
    <row r="8" ht="30.0" customHeight="1">
      <c r="A8" s="2" t="s">
        <v>58</v>
      </c>
      <c r="B8" s="7">
        <v>4.0</v>
      </c>
      <c r="C8" s="3">
        <v>0.1</v>
      </c>
      <c r="D8" s="3">
        <f t="shared" si="1"/>
        <v>0.4</v>
      </c>
      <c r="E8" s="6">
        <v>0.11</v>
      </c>
      <c r="F8" s="3">
        <f t="shared" si="2"/>
        <v>0.44</v>
      </c>
      <c r="G8" s="2" t="s">
        <v>59</v>
      </c>
      <c r="H8" s="2" t="s">
        <v>60</v>
      </c>
      <c r="I8" s="5" t="s">
        <v>61</v>
      </c>
      <c r="J8" s="2" t="s">
        <v>62</v>
      </c>
      <c r="K8" s="2" t="s">
        <v>22</v>
      </c>
      <c r="L8" s="2" t="s">
        <v>63</v>
      </c>
      <c r="M8" s="2"/>
      <c r="N8" s="2"/>
      <c r="O8" s="2"/>
      <c r="P8" s="2"/>
      <c r="Q8" s="2" t="s">
        <v>64</v>
      </c>
    </row>
    <row r="9" ht="30.0" customHeight="1">
      <c r="A9" s="2" t="s">
        <v>65</v>
      </c>
      <c r="B9" s="2">
        <v>1.0</v>
      </c>
      <c r="C9" s="3">
        <v>0.47</v>
      </c>
      <c r="D9" s="3">
        <f t="shared" si="1"/>
        <v>0.47</v>
      </c>
      <c r="E9" s="6">
        <v>0.47</v>
      </c>
      <c r="F9" s="3">
        <f t="shared" si="2"/>
        <v>0.47</v>
      </c>
      <c r="G9" s="2" t="s">
        <v>52</v>
      </c>
      <c r="H9" s="2" t="s">
        <v>66</v>
      </c>
      <c r="I9" s="2" t="s">
        <v>67</v>
      </c>
      <c r="J9" s="2" t="s">
        <v>68</v>
      </c>
      <c r="K9" s="2" t="s">
        <v>22</v>
      </c>
      <c r="L9" s="2" t="s">
        <v>69</v>
      </c>
      <c r="M9" s="2"/>
      <c r="N9" s="2"/>
      <c r="O9" s="2"/>
      <c r="P9" s="2"/>
      <c r="Q9" s="2" t="s">
        <v>70</v>
      </c>
    </row>
    <row r="10" ht="30.0" customHeight="1">
      <c r="A10" s="2" t="s">
        <v>71</v>
      </c>
      <c r="B10" s="2">
        <v>1.0</v>
      </c>
      <c r="C10" s="3">
        <v>1.97</v>
      </c>
      <c r="D10" s="3">
        <f t="shared" si="1"/>
        <v>1.97</v>
      </c>
      <c r="E10" s="6">
        <v>1.97</v>
      </c>
      <c r="F10" s="3">
        <f t="shared" si="2"/>
        <v>1.97</v>
      </c>
      <c r="G10" s="2" t="s">
        <v>72</v>
      </c>
      <c r="H10" s="2" t="s">
        <v>73</v>
      </c>
      <c r="I10" s="2" t="s">
        <v>74</v>
      </c>
      <c r="J10" s="2" t="s">
        <v>75</v>
      </c>
      <c r="K10" s="2" t="s">
        <v>22</v>
      </c>
      <c r="L10" s="2" t="s">
        <v>76</v>
      </c>
      <c r="M10" s="2"/>
      <c r="N10" s="2"/>
      <c r="O10" s="2"/>
      <c r="P10" s="2"/>
      <c r="Q10" s="2" t="s">
        <v>77</v>
      </c>
    </row>
    <row r="11" ht="30.0" customHeight="1">
      <c r="A11" s="7" t="s">
        <v>78</v>
      </c>
      <c r="B11" s="2">
        <v>1.0</v>
      </c>
      <c r="C11" s="3">
        <v>1.37</v>
      </c>
      <c r="D11" s="3">
        <f t="shared" si="1"/>
        <v>1.37</v>
      </c>
      <c r="E11" s="6">
        <v>1.94</v>
      </c>
      <c r="F11" s="3">
        <f t="shared" si="2"/>
        <v>1.94</v>
      </c>
      <c r="G11" s="7" t="s">
        <v>79</v>
      </c>
      <c r="H11" s="8" t="s">
        <v>80</v>
      </c>
      <c r="I11" s="9" t="s">
        <v>81</v>
      </c>
      <c r="J11" s="9" t="s">
        <v>82</v>
      </c>
      <c r="K11" s="2" t="s">
        <v>22</v>
      </c>
      <c r="L11" s="8" t="s">
        <v>83</v>
      </c>
      <c r="M11" s="2"/>
      <c r="N11" s="2"/>
      <c r="O11" s="2"/>
      <c r="P11" s="2"/>
      <c r="Q11" s="2" t="s">
        <v>84</v>
      </c>
    </row>
    <row r="12" ht="30.0" customHeight="1">
      <c r="A12" s="7" t="s">
        <v>85</v>
      </c>
      <c r="B12" s="7">
        <v>2.0</v>
      </c>
      <c r="C12" s="6">
        <v>0.63</v>
      </c>
      <c r="D12" s="6">
        <v>0.63</v>
      </c>
      <c r="E12" s="6">
        <v>0.63</v>
      </c>
      <c r="F12" s="6">
        <f t="shared" si="2"/>
        <v>1.26</v>
      </c>
      <c r="G12" s="7" t="s">
        <v>79</v>
      </c>
      <c r="H12" s="8" t="s">
        <v>86</v>
      </c>
      <c r="I12" s="9" t="s">
        <v>87</v>
      </c>
      <c r="J12" s="9" t="s">
        <v>88</v>
      </c>
      <c r="K12" s="7" t="s">
        <v>89</v>
      </c>
      <c r="L12" s="7" t="s">
        <v>90</v>
      </c>
      <c r="M12" s="2"/>
      <c r="N12" s="2"/>
      <c r="O12" s="2"/>
      <c r="P12" s="2"/>
      <c r="Q12" s="7" t="s">
        <v>84</v>
      </c>
    </row>
    <row r="13" ht="30.0" customHeight="1">
      <c r="A13" s="2" t="s">
        <v>91</v>
      </c>
      <c r="B13" s="7">
        <v>2.0</v>
      </c>
      <c r="C13" s="6">
        <v>6.23</v>
      </c>
      <c r="D13" s="3">
        <f t="shared" ref="D13:D30" si="3">B13*C13</f>
        <v>12.46</v>
      </c>
      <c r="E13" s="6">
        <v>6.23</v>
      </c>
      <c r="F13" s="3">
        <f t="shared" si="2"/>
        <v>12.46</v>
      </c>
      <c r="G13" s="2" t="s">
        <v>92</v>
      </c>
      <c r="H13" s="7" t="s">
        <v>93</v>
      </c>
      <c r="I13" s="5" t="s">
        <v>94</v>
      </c>
      <c r="J13" s="5" t="s">
        <v>95</v>
      </c>
      <c r="K13" s="2" t="s">
        <v>22</v>
      </c>
      <c r="L13" s="7" t="s">
        <v>96</v>
      </c>
      <c r="M13" s="2"/>
      <c r="N13" s="2"/>
      <c r="O13" s="2"/>
      <c r="P13" s="2"/>
      <c r="Q13" s="2" t="s">
        <v>97</v>
      </c>
    </row>
    <row r="14" ht="30.0" customHeight="1">
      <c r="A14" s="2" t="s">
        <v>98</v>
      </c>
      <c r="B14" s="2">
        <v>1.0</v>
      </c>
      <c r="C14" s="3">
        <v>0.63</v>
      </c>
      <c r="D14" s="3">
        <f t="shared" si="3"/>
        <v>0.63</v>
      </c>
      <c r="E14" s="6">
        <v>0.63</v>
      </c>
      <c r="F14" s="3">
        <f t="shared" si="2"/>
        <v>0.63</v>
      </c>
      <c r="G14" s="2" t="s">
        <v>92</v>
      </c>
      <c r="H14" s="2" t="s">
        <v>99</v>
      </c>
      <c r="I14" s="2" t="s">
        <v>100</v>
      </c>
      <c r="J14" s="2" t="s">
        <v>101</v>
      </c>
      <c r="K14" s="2" t="s">
        <v>22</v>
      </c>
      <c r="L14" s="2" t="s">
        <v>102</v>
      </c>
      <c r="M14" s="2"/>
      <c r="N14" s="2"/>
      <c r="O14" s="2"/>
      <c r="P14" s="2"/>
      <c r="Q14" s="2" t="s">
        <v>103</v>
      </c>
    </row>
    <row r="15" ht="30.0" customHeight="1">
      <c r="A15" s="2" t="s">
        <v>104</v>
      </c>
      <c r="B15" s="2">
        <v>1.0</v>
      </c>
      <c r="C15" s="3">
        <v>0.7</v>
      </c>
      <c r="D15" s="3">
        <f t="shared" si="3"/>
        <v>0.7</v>
      </c>
      <c r="E15" s="6">
        <v>0.75</v>
      </c>
      <c r="F15" s="3">
        <f t="shared" si="2"/>
        <v>0.75</v>
      </c>
      <c r="G15" s="2" t="s">
        <v>92</v>
      </c>
      <c r="H15" s="2" t="s">
        <v>105</v>
      </c>
      <c r="I15" s="2" t="s">
        <v>106</v>
      </c>
      <c r="J15" s="2" t="s">
        <v>107</v>
      </c>
      <c r="K15" s="2" t="s">
        <v>22</v>
      </c>
      <c r="L15" s="2" t="s">
        <v>108</v>
      </c>
      <c r="M15" s="2"/>
      <c r="N15" s="2"/>
      <c r="O15" s="2"/>
      <c r="P15" s="2"/>
      <c r="Q15" s="2" t="s">
        <v>109</v>
      </c>
    </row>
    <row r="16" ht="30.0" customHeight="1">
      <c r="A16" s="2" t="s">
        <v>110</v>
      </c>
      <c r="B16" s="2">
        <v>1.0</v>
      </c>
      <c r="C16" s="3">
        <v>0.13</v>
      </c>
      <c r="D16" s="3">
        <f t="shared" si="3"/>
        <v>0.13</v>
      </c>
      <c r="E16" s="6">
        <v>0.12</v>
      </c>
      <c r="F16" s="3">
        <f t="shared" si="2"/>
        <v>0.12</v>
      </c>
      <c r="G16" s="2" t="s">
        <v>111</v>
      </c>
      <c r="H16" s="2" t="s">
        <v>112</v>
      </c>
      <c r="I16" s="2" t="s">
        <v>113</v>
      </c>
      <c r="J16" s="2" t="s">
        <v>114</v>
      </c>
      <c r="K16" s="2" t="s">
        <v>22</v>
      </c>
      <c r="L16" s="2" t="s">
        <v>115</v>
      </c>
      <c r="M16" s="2"/>
      <c r="N16" s="2"/>
      <c r="O16" s="2"/>
      <c r="P16" s="2"/>
      <c r="Q16" s="2" t="s">
        <v>116</v>
      </c>
    </row>
    <row r="17" ht="30.0" customHeight="1">
      <c r="A17" s="2" t="s">
        <v>117</v>
      </c>
      <c r="B17" s="2">
        <v>1.0</v>
      </c>
      <c r="C17" s="3">
        <v>0.46</v>
      </c>
      <c r="D17" s="3">
        <f t="shared" si="3"/>
        <v>0.46</v>
      </c>
      <c r="E17" s="6">
        <v>0.17</v>
      </c>
      <c r="F17" s="3">
        <f t="shared" si="2"/>
        <v>0.17</v>
      </c>
      <c r="G17" s="2" t="s">
        <v>111</v>
      </c>
      <c r="H17" s="2" t="s">
        <v>118</v>
      </c>
      <c r="I17" s="2" t="s">
        <v>119</v>
      </c>
      <c r="J17" s="2" t="s">
        <v>114</v>
      </c>
      <c r="K17" s="2" t="s">
        <v>22</v>
      </c>
      <c r="L17" s="2" t="s">
        <v>120</v>
      </c>
      <c r="M17" s="2"/>
      <c r="N17" s="2"/>
      <c r="O17" s="2"/>
      <c r="P17" s="2"/>
      <c r="Q17" s="2" t="s">
        <v>121</v>
      </c>
    </row>
    <row r="18" ht="30.0" customHeight="1">
      <c r="A18" s="2" t="s">
        <v>122</v>
      </c>
      <c r="B18" s="2">
        <v>1.0</v>
      </c>
      <c r="C18" s="3">
        <v>0.1</v>
      </c>
      <c r="D18" s="3">
        <f t="shared" si="3"/>
        <v>0.1</v>
      </c>
      <c r="E18" s="6">
        <v>0.1</v>
      </c>
      <c r="F18" s="3">
        <f t="shared" si="2"/>
        <v>0.1</v>
      </c>
      <c r="G18" s="2" t="s">
        <v>111</v>
      </c>
      <c r="H18" s="2" t="s">
        <v>123</v>
      </c>
      <c r="I18" s="2" t="s">
        <v>124</v>
      </c>
      <c r="J18" s="2" t="s">
        <v>114</v>
      </c>
      <c r="K18" s="2" t="s">
        <v>22</v>
      </c>
      <c r="L18" s="2" t="s">
        <v>125</v>
      </c>
      <c r="M18" s="2"/>
      <c r="N18" s="2"/>
      <c r="O18" s="2"/>
      <c r="P18" s="2"/>
      <c r="Q18" s="2" t="s">
        <v>126</v>
      </c>
    </row>
    <row r="19" ht="30.0" customHeight="1">
      <c r="A19" s="2" t="s">
        <v>127</v>
      </c>
      <c r="B19" s="7">
        <v>2.0</v>
      </c>
      <c r="C19" s="3">
        <v>1.57</v>
      </c>
      <c r="D19" s="3">
        <f t="shared" si="3"/>
        <v>3.14</v>
      </c>
      <c r="E19" s="6">
        <v>1.57</v>
      </c>
      <c r="F19" s="3">
        <f t="shared" si="2"/>
        <v>3.14</v>
      </c>
      <c r="G19" s="2" t="s">
        <v>128</v>
      </c>
      <c r="H19" s="2" t="s">
        <v>129</v>
      </c>
      <c r="I19" s="2" t="s">
        <v>130</v>
      </c>
      <c r="J19" s="2" t="s">
        <v>131</v>
      </c>
      <c r="K19" s="2" t="s">
        <v>22</v>
      </c>
      <c r="L19" s="2" t="s">
        <v>132</v>
      </c>
      <c r="M19" s="2"/>
      <c r="N19" s="2"/>
      <c r="O19" s="2"/>
      <c r="P19" s="2"/>
      <c r="Q19" s="2" t="s">
        <v>133</v>
      </c>
    </row>
    <row r="20" ht="30.0" customHeight="1">
      <c r="A20" s="2" t="s">
        <v>134</v>
      </c>
      <c r="B20" s="7">
        <v>2.0</v>
      </c>
      <c r="C20" s="3">
        <v>1.44</v>
      </c>
      <c r="D20" s="3">
        <f t="shared" si="3"/>
        <v>2.88</v>
      </c>
      <c r="E20" s="6">
        <v>1.44</v>
      </c>
      <c r="F20" s="3">
        <f t="shared" si="2"/>
        <v>2.88</v>
      </c>
      <c r="G20" s="2" t="s">
        <v>128</v>
      </c>
      <c r="H20" s="2" t="s">
        <v>135</v>
      </c>
      <c r="I20" s="2" t="s">
        <v>136</v>
      </c>
      <c r="J20" s="2" t="s">
        <v>137</v>
      </c>
      <c r="K20" s="2" t="s">
        <v>22</v>
      </c>
      <c r="L20" s="2" t="s">
        <v>138</v>
      </c>
      <c r="M20" s="2"/>
      <c r="N20" s="2"/>
      <c r="O20" s="2"/>
      <c r="P20" s="2"/>
      <c r="Q20" s="2" t="s">
        <v>139</v>
      </c>
    </row>
    <row r="21" ht="30.0" customHeight="1">
      <c r="A21" s="2" t="s">
        <v>140</v>
      </c>
      <c r="B21" s="2">
        <v>4.0</v>
      </c>
      <c r="C21" s="3">
        <v>0.1</v>
      </c>
      <c r="D21" s="3">
        <f t="shared" si="3"/>
        <v>0.4</v>
      </c>
      <c r="E21" s="6">
        <v>0.1</v>
      </c>
      <c r="F21" s="3">
        <f t="shared" si="2"/>
        <v>0.4</v>
      </c>
      <c r="G21" s="2" t="s">
        <v>141</v>
      </c>
      <c r="H21" s="2" t="s">
        <v>142</v>
      </c>
      <c r="I21" s="5" t="s">
        <v>143</v>
      </c>
      <c r="J21" s="2" t="s">
        <v>144</v>
      </c>
      <c r="K21" s="2" t="s">
        <v>22</v>
      </c>
      <c r="L21" s="2" t="s">
        <v>145</v>
      </c>
      <c r="M21" s="2"/>
      <c r="N21" s="2"/>
      <c r="O21" s="2"/>
      <c r="P21" s="2"/>
      <c r="Q21" s="2" t="s">
        <v>146</v>
      </c>
    </row>
    <row r="22" ht="30.0" customHeight="1">
      <c r="A22" s="2" t="s">
        <v>147</v>
      </c>
      <c r="B22" s="2">
        <v>3.0</v>
      </c>
      <c r="C22" s="3">
        <v>0.1</v>
      </c>
      <c r="D22" s="3">
        <f t="shared" si="3"/>
        <v>0.3</v>
      </c>
      <c r="E22" s="6">
        <v>0.1</v>
      </c>
      <c r="F22" s="3">
        <f t="shared" si="2"/>
        <v>0.3</v>
      </c>
      <c r="G22" s="2" t="s">
        <v>141</v>
      </c>
      <c r="H22" s="2" t="s">
        <v>148</v>
      </c>
      <c r="I22" s="5" t="s">
        <v>149</v>
      </c>
      <c r="J22" s="2" t="s">
        <v>144</v>
      </c>
      <c r="K22" s="2" t="s">
        <v>22</v>
      </c>
      <c r="L22" s="2" t="s">
        <v>150</v>
      </c>
      <c r="M22" s="2"/>
      <c r="N22" s="2"/>
      <c r="O22" s="2"/>
      <c r="P22" s="2"/>
      <c r="Q22" s="2" t="s">
        <v>151</v>
      </c>
    </row>
    <row r="23" ht="30.0" customHeight="1">
      <c r="A23" s="2" t="s">
        <v>152</v>
      </c>
      <c r="B23" s="2">
        <v>1.0</v>
      </c>
      <c r="C23" s="3">
        <v>0.11</v>
      </c>
      <c r="D23" s="3">
        <f t="shared" si="3"/>
        <v>0.11</v>
      </c>
      <c r="E23" s="6">
        <v>0.11</v>
      </c>
      <c r="F23" s="3">
        <f t="shared" si="2"/>
        <v>0.11</v>
      </c>
      <c r="G23" s="2" t="s">
        <v>141</v>
      </c>
      <c r="H23" s="2" t="s">
        <v>153</v>
      </c>
      <c r="I23" s="5" t="s">
        <v>154</v>
      </c>
      <c r="J23" s="2" t="s">
        <v>144</v>
      </c>
      <c r="K23" s="2" t="s">
        <v>22</v>
      </c>
      <c r="L23" s="2" t="s">
        <v>155</v>
      </c>
      <c r="M23" s="2"/>
      <c r="N23" s="2"/>
      <c r="O23" s="2"/>
      <c r="P23" s="2"/>
      <c r="Q23" s="2" t="s">
        <v>156</v>
      </c>
    </row>
    <row r="24" ht="30.0" customHeight="1">
      <c r="A24" s="2" t="s">
        <v>157</v>
      </c>
      <c r="B24" s="2">
        <v>2.0</v>
      </c>
      <c r="C24" s="3">
        <v>0.11</v>
      </c>
      <c r="D24" s="3">
        <f t="shared" si="3"/>
        <v>0.22</v>
      </c>
      <c r="E24" s="6">
        <v>0.1</v>
      </c>
      <c r="F24" s="3">
        <f t="shared" si="2"/>
        <v>0.2</v>
      </c>
      <c r="G24" s="2" t="s">
        <v>141</v>
      </c>
      <c r="H24" s="2" t="s">
        <v>158</v>
      </c>
      <c r="I24" s="5" t="s">
        <v>159</v>
      </c>
      <c r="J24" s="2" t="s">
        <v>144</v>
      </c>
      <c r="K24" s="2" t="s">
        <v>22</v>
      </c>
      <c r="L24" s="2" t="s">
        <v>160</v>
      </c>
      <c r="M24" s="2"/>
      <c r="N24" s="2"/>
      <c r="O24" s="2"/>
      <c r="P24" s="2"/>
      <c r="Q24" s="2" t="s">
        <v>161</v>
      </c>
    </row>
    <row r="25" ht="30.0" customHeight="1">
      <c r="A25" s="2" t="s">
        <v>162</v>
      </c>
      <c r="B25" s="2">
        <v>2.0</v>
      </c>
      <c r="C25" s="3">
        <v>0.1</v>
      </c>
      <c r="D25" s="3">
        <f t="shared" si="3"/>
        <v>0.2</v>
      </c>
      <c r="E25" s="6">
        <v>0.1</v>
      </c>
      <c r="F25" s="3">
        <f t="shared" si="2"/>
        <v>0.2</v>
      </c>
      <c r="G25" s="2" t="s">
        <v>141</v>
      </c>
      <c r="H25" s="2" t="s">
        <v>163</v>
      </c>
      <c r="I25" s="5" t="s">
        <v>164</v>
      </c>
      <c r="J25" s="2" t="s">
        <v>144</v>
      </c>
      <c r="K25" s="2" t="s">
        <v>22</v>
      </c>
      <c r="L25" s="2" t="s">
        <v>165</v>
      </c>
      <c r="M25" s="2"/>
      <c r="N25" s="2"/>
      <c r="O25" s="2"/>
      <c r="P25" s="2"/>
      <c r="Q25" s="2" t="s">
        <v>166</v>
      </c>
    </row>
    <row r="26" ht="30.0" customHeight="1">
      <c r="A26" s="2" t="s">
        <v>167</v>
      </c>
      <c r="B26" s="2">
        <v>1.0</v>
      </c>
      <c r="C26" s="3">
        <v>3.13</v>
      </c>
      <c r="D26" s="3">
        <f t="shared" si="3"/>
        <v>3.13</v>
      </c>
      <c r="E26" s="6">
        <v>3.13</v>
      </c>
      <c r="F26" s="3">
        <f t="shared" si="2"/>
        <v>3.13</v>
      </c>
      <c r="G26" s="2" t="s">
        <v>168</v>
      </c>
      <c r="H26" s="2" t="s">
        <v>169</v>
      </c>
      <c r="I26" s="2" t="s">
        <v>170</v>
      </c>
      <c r="J26" s="2" t="s">
        <v>171</v>
      </c>
      <c r="K26" s="2" t="s">
        <v>22</v>
      </c>
      <c r="L26" s="2" t="s">
        <v>172</v>
      </c>
      <c r="M26" s="2"/>
      <c r="N26" s="2"/>
      <c r="O26" s="2"/>
      <c r="P26" s="2"/>
      <c r="Q26" s="2" t="s">
        <v>173</v>
      </c>
    </row>
    <row r="27" ht="30.0" customHeight="1">
      <c r="A27" s="2" t="s">
        <v>174</v>
      </c>
      <c r="B27" s="2">
        <v>7.0</v>
      </c>
      <c r="C27" s="3">
        <v>0.3</v>
      </c>
      <c r="D27" s="3">
        <f t="shared" si="3"/>
        <v>2.1</v>
      </c>
      <c r="E27" s="6">
        <v>0.29</v>
      </c>
      <c r="F27" s="3">
        <f t="shared" si="2"/>
        <v>2.03</v>
      </c>
      <c r="G27" s="2" t="s">
        <v>175</v>
      </c>
      <c r="H27" s="2" t="s">
        <v>176</v>
      </c>
      <c r="I27" s="5" t="s">
        <v>177</v>
      </c>
      <c r="J27" s="2" t="s">
        <v>178</v>
      </c>
      <c r="K27" s="2" t="s">
        <v>22</v>
      </c>
      <c r="L27" s="2" t="s">
        <v>179</v>
      </c>
      <c r="M27" s="2"/>
      <c r="N27" s="2"/>
      <c r="O27" s="2"/>
      <c r="P27" s="2"/>
      <c r="Q27" s="2" t="s">
        <v>180</v>
      </c>
    </row>
    <row r="28" ht="30.0" customHeight="1">
      <c r="A28" s="2" t="s">
        <v>181</v>
      </c>
      <c r="B28" s="2">
        <v>1.0</v>
      </c>
      <c r="C28" s="3">
        <v>10.61</v>
      </c>
      <c r="D28" s="3">
        <f t="shared" si="3"/>
        <v>10.61</v>
      </c>
      <c r="E28" s="3">
        <v>10.61</v>
      </c>
      <c r="F28" s="3">
        <f t="shared" si="2"/>
        <v>10.61</v>
      </c>
      <c r="G28" s="2" t="s">
        <v>72</v>
      </c>
      <c r="H28" s="2" t="s">
        <v>182</v>
      </c>
      <c r="I28" s="2" t="s">
        <v>183</v>
      </c>
      <c r="J28" s="2" t="s">
        <v>184</v>
      </c>
      <c r="K28" s="2" t="s">
        <v>22</v>
      </c>
      <c r="L28" s="2" t="s">
        <v>185</v>
      </c>
      <c r="M28" s="2"/>
      <c r="N28" s="2"/>
      <c r="O28" s="2"/>
      <c r="P28" s="2"/>
      <c r="Q28" s="2" t="s">
        <v>186</v>
      </c>
    </row>
    <row r="29" ht="30.0" customHeight="1">
      <c r="A29" s="2" t="s">
        <v>187</v>
      </c>
      <c r="B29" s="7">
        <v>1.0</v>
      </c>
      <c r="C29" s="3">
        <v>1.08</v>
      </c>
      <c r="D29" s="3">
        <f t="shared" si="3"/>
        <v>1.08</v>
      </c>
      <c r="E29" s="3">
        <v>0.6195</v>
      </c>
      <c r="F29" s="3">
        <f t="shared" si="2"/>
        <v>0.6195</v>
      </c>
      <c r="G29" s="2" t="s">
        <v>128</v>
      </c>
      <c r="H29" s="2" t="s">
        <v>188</v>
      </c>
      <c r="I29" s="2" t="s">
        <v>189</v>
      </c>
      <c r="J29" s="2" t="s">
        <v>190</v>
      </c>
      <c r="K29" s="2" t="s">
        <v>22</v>
      </c>
      <c r="L29" s="2" t="s">
        <v>191</v>
      </c>
      <c r="M29" s="2"/>
      <c r="N29" s="2"/>
      <c r="O29" s="2"/>
      <c r="P29" s="2"/>
      <c r="Q29" s="7" t="s">
        <v>192</v>
      </c>
    </row>
    <row r="30" ht="30.0" customHeight="1">
      <c r="A30" s="2" t="s">
        <v>193</v>
      </c>
      <c r="B30" s="7">
        <v>1.0</v>
      </c>
      <c r="C30" s="3">
        <v>0.59</v>
      </c>
      <c r="D30" s="3">
        <f t="shared" si="3"/>
        <v>0.59</v>
      </c>
      <c r="E30" s="3">
        <v>0.44</v>
      </c>
      <c r="F30" s="3">
        <f t="shared" si="2"/>
        <v>0.44</v>
      </c>
      <c r="G30" s="2" t="s">
        <v>72</v>
      </c>
      <c r="H30" s="2" t="s">
        <v>194</v>
      </c>
      <c r="I30" s="2" t="s">
        <v>195</v>
      </c>
      <c r="J30" s="2" t="s">
        <v>196</v>
      </c>
      <c r="K30" s="2" t="s">
        <v>22</v>
      </c>
      <c r="L30" s="2" t="s">
        <v>197</v>
      </c>
      <c r="M30" s="2"/>
      <c r="N30" s="2"/>
      <c r="O30" s="2"/>
      <c r="P30" s="2"/>
      <c r="Q30" s="7" t="s">
        <v>198</v>
      </c>
    </row>
    <row r="31" ht="30.0" customHeight="1">
      <c r="A31" s="10" t="s">
        <v>199</v>
      </c>
      <c r="B31" s="10"/>
      <c r="C31" s="11"/>
      <c r="D31" s="11">
        <f>SUM(D2:D30)</f>
        <v>51</v>
      </c>
      <c r="E31" s="11"/>
      <c r="F31" s="11">
        <f>SUM(F2:F30)</f>
        <v>51.0027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ht="36.0" customHeight="1">
      <c r="A32" s="12"/>
    </row>
    <row r="33" ht="16.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">
    <mergeCell ref="A32:Q32"/>
  </mergeCells>
  <hyperlinks>
    <hyperlink r:id="rId1" ref="I2"/>
    <hyperlink r:id="rId2" ref="J2"/>
    <hyperlink r:id="rId3" ref="I3"/>
    <hyperlink r:id="rId4" ref="J3"/>
    <hyperlink r:id="rId5" ref="I4"/>
    <hyperlink r:id="rId6" ref="J4"/>
    <hyperlink r:id="rId7" ref="I5"/>
    <hyperlink r:id="rId8" ref="J5"/>
    <hyperlink r:id="rId9" ref="I6"/>
    <hyperlink r:id="rId10" ref="J6"/>
    <hyperlink r:id="rId11" ref="I7"/>
    <hyperlink r:id="rId12" ref="I8"/>
    <hyperlink r:id="rId13" ref="I11"/>
    <hyperlink r:id="rId14" ref="J11"/>
    <hyperlink r:id="rId15" ref="I12"/>
    <hyperlink r:id="rId16" ref="J12"/>
    <hyperlink r:id="rId17" ref="I13"/>
    <hyperlink r:id="rId18" ref="J13"/>
    <hyperlink r:id="rId19" ref="I21"/>
    <hyperlink r:id="rId20" ref="I22"/>
    <hyperlink r:id="rId21" ref="I23"/>
    <hyperlink r:id="rId22" ref="I24"/>
    <hyperlink r:id="rId23" ref="I25"/>
    <hyperlink r:id="rId24" ref="I27"/>
  </hyperlinks>
  <printOptions/>
  <pageMargins bottom="0.75" footer="0.0" header="0.0" left="0.7" right="0.7" top="0.75"/>
  <pageSetup orientation="landscape" paperHeight="16in" paperWidth="20in"/>
  <drawing r:id="rId25"/>
</worksheet>
</file>