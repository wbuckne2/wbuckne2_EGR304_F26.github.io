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 Budget" sheetId="1" r:id="rId4"/>
  </sheets>
  <definedNames/>
  <calcPr/>
  <extLst>
    <ext uri="GoogleSheetsCustomDataVersion2">
      <go:sheetsCustomData xmlns:go="http://customooxmlschemas.google.com/" r:id="rId5" roundtripDataChecksum="NI4pAgDxoqeQpfn6nC87ReHfVsh0F6alsuIKZ0OFh7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======
ID#doco.it9M-_zc8BUbZqWRzuzeDQ
    (2026-10-26 02:53:54)
For inductive loads (e.g., motors, solenoids) this is often called "stall current" on the data sheet</t>
      </text>
    </comment>
  </commentList>
  <extLst>
    <ext uri="GoogleSheetsCustomDataVersion2">
      <go:sheetsCustomData xmlns:go="http://customooxmlschemas.google.com/" r:id="rId1" roundtripDataSignature="AMtx7miRSdnkfawABIuOotyScWpxA8c5Kg=="/>
    </ext>
  </extLst>
</comments>
</file>

<file path=xl/sharedStrings.xml><?xml version="1.0" encoding="utf-8"?>
<sst xmlns="http://schemas.openxmlformats.org/spreadsheetml/2006/main" count="74" uniqueCount="52">
  <si>
    <t xml:space="preserve">Power Budget </t>
  </si>
  <si>
    <t>Team Number:</t>
  </si>
  <si>
    <t>Project Name:</t>
  </si>
  <si>
    <t>Speaker Board</t>
  </si>
  <si>
    <t>Team Member Names:</t>
  </si>
  <si>
    <t>William Buckner</t>
  </si>
  <si>
    <t>Version:</t>
  </si>
  <si>
    <t>Rev 3 - 5 V single-rail design</t>
  </si>
  <si>
    <t xml:space="preserve"> +5V Power Rail</t>
  </si>
  <si>
    <t>Component Name</t>
  </si>
  <si>
    <t>Part Number</t>
  </si>
  <si>
    <t>Supply
Voltage
Range</t>
  </si>
  <si>
    <t>#</t>
  </si>
  <si>
    <t>Absolute
Maximum
Current (mA)</t>
  </si>
  <si>
    <t>Total
Current
(mA)</t>
  </si>
  <si>
    <t>Unit</t>
  </si>
  <si>
    <t>PIC18F57Q43 Curiosity Nano</t>
  </si>
  <si>
    <t>DM164150</t>
  </si>
  <si>
    <t>1.8-5.5 V</t>
  </si>
  <si>
    <t>mA</t>
  </si>
  <si>
    <t>10-bit DAC</t>
  </si>
  <si>
    <t>MCP4911</t>
  </si>
  <si>
    <t>2.7-5.5 V</t>
  </si>
  <si>
    <t>Quad op amp</t>
  </si>
  <si>
    <t>MCP6004</t>
  </si>
  <si>
    <t>1.8-6.0 V</t>
  </si>
  <si>
    <t>Class-AB speaker output</t>
  </si>
  <si>
    <t>BD139 + BD140</t>
  </si>
  <si>
    <t>5 V design</t>
  </si>
  <si>
    <t>Debug / power LEDs</t>
  </si>
  <si>
    <t>D1 + D4 + D5</t>
  </si>
  <si>
    <t>5 V via resistors</t>
  </si>
  <si>
    <t xml:space="preserve">Subtotal </t>
  </si>
  <si>
    <t>Safety Margin</t>
  </si>
  <si>
    <t>Total Current Required on +5V Rail</t>
  </si>
  <si>
    <t>c2. Regulator or Source Choice</t>
  </si>
  <si>
    <t>+5V Linear Regulator</t>
  </si>
  <si>
    <t>LM7805</t>
  </si>
  <si>
    <t>7-35 V</t>
  </si>
  <si>
    <t>Total Remaining Current Available on +5V Rail</t>
  </si>
  <si>
    <t>External Power Source 1</t>
  </si>
  <si>
    <t>Output Voltage</t>
  </si>
  <si>
    <t>Power Source 1 Selection</t>
  </si>
  <si>
    <t>9 V DC Wall Supply</t>
  </si>
  <si>
    <t>TBD - &gt;=1 A</t>
  </si>
  <si>
    <t>120 VAC</t>
  </si>
  <si>
    <t>9 VDC</t>
  </si>
  <si>
    <t>Power Rails Connected to External Power Source 1</t>
  </si>
  <si>
    <t>Total Remaining Current Available on External Power Source 1</t>
  </si>
  <si>
    <t>Notes</t>
  </si>
  <si>
    <t>BD139/BD140 row uses 300 mA estimated worst-case 5 V rail draw for the complete Class-AB output stage.</t>
  </si>
  <si>
    <t>5 V rail total includes 25% safety margin; verify regulator temperature and measured current during hardware testing.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</si>
</sst>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rgb="FF000000"/>
      <name val="Calibri"/>
      <scheme val="minor"/>
    </font>
    <font>
      <b/>
      <sz val="24.0"/>
      <color rgb="FF000000"/>
      <name val="Calibri"/>
    </font>
    <font>
      <b/>
      <sz val="12.0"/>
      <color rgb="FF000000"/>
      <name val="Calibri"/>
    </font>
    <font>
      <sz val="12.0"/>
      <color theme="1"/>
      <name val="Calibri"/>
    </font>
    <font>
      <sz val="12.0"/>
      <color rgb="FF000000"/>
      <name val="Calibri"/>
    </font>
    <font>
      <b/>
      <sz val="12.0"/>
      <color rgb="FF000000"/>
      <name val="Arial"/>
    </font>
    <font>
      <b/>
      <i/>
      <sz val="12.0"/>
      <color rgb="FF000000"/>
      <name val="Arial"/>
    </font>
    <font>
      <sz val="12.0"/>
      <color rgb="FF000000"/>
      <name val="Arial"/>
    </font>
    <font>
      <b/>
      <i/>
      <sz val="12.0"/>
      <color rgb="FF000000"/>
      <name val="Calibri"/>
    </font>
    <font/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2" fillId="2" fontId="6" numFmtId="0" xfId="0" applyAlignment="1" applyBorder="1" applyFill="1" applyFont="1">
      <alignment horizontal="left" shrinkToFit="0" vertical="center" wrapText="1"/>
    </xf>
    <xf borderId="3" fillId="2" fontId="2" numFmtId="0" xfId="0" applyAlignment="1" applyBorder="1" applyFill="1" applyFont="1">
      <alignment horizontal="left" shrinkToFit="0" vertical="center" wrapText="1"/>
    </xf>
    <xf borderId="3" fillId="2" fontId="5" numFmtId="0" xfId="0" applyAlignment="1" applyBorder="1" applyFill="1" applyFont="1">
      <alignment horizontal="left" shrinkToFit="0" vertical="center" wrapText="1"/>
    </xf>
    <xf borderId="3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5" fillId="0" fontId="4" numFmtId="9" xfId="0" applyAlignment="1" applyBorder="1" applyFont="1" applyNumberFormat="1">
      <alignment horizontal="center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6" fillId="0" fontId="6" numFmtId="0" xfId="0" applyAlignment="1" applyBorder="1" applyFont="1">
      <alignment horizontal="left" shrinkToFit="0" vertical="center" wrapText="1"/>
    </xf>
    <xf borderId="7" fillId="0" fontId="6" numFmtId="49" xfId="0" applyAlignment="1" applyBorder="1" applyFont="1" applyNumberFormat="1">
      <alignment horizontal="left" shrinkToFit="0" vertical="center" wrapText="1"/>
    </xf>
    <xf borderId="7" fillId="0" fontId="9" numFmtId="0" xfId="0" applyBorder="1" applyFont="1"/>
    <xf borderId="4" fillId="0" fontId="5" numFmtId="0" xfId="0" applyAlignment="1" applyBorder="1" applyFont="1">
      <alignment horizontal="left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4" fillId="0" fontId="9" numFmtId="0" xfId="0" applyBorder="1" applyFont="1"/>
    <xf borderId="0" fillId="0" fontId="6" numFmtId="49" xfId="0" applyAlignment="1" applyFont="1" applyNumberFormat="1">
      <alignment horizontal="left" shrinkToFit="0" vertical="center" wrapText="1"/>
    </xf>
    <xf borderId="9" fillId="3" fontId="6" numFmtId="0" xfId="0" applyAlignment="1" applyBorder="1" applyFill="1" applyFont="1">
      <alignment horizontal="left" shrinkToFit="0" vertical="center" wrapText="1"/>
    </xf>
    <xf borderId="10" fillId="0" fontId="9" numFmtId="0" xfId="0" applyBorder="1" applyFont="1"/>
    <xf borderId="11" fillId="0" fontId="9" numFmtId="0" xfId="0" applyBorder="1" applyFont="1"/>
    <xf borderId="12" fillId="3" fontId="4" numFmtId="0" xfId="0" applyAlignment="1" applyBorder="1" applyFill="1" applyFont="1">
      <alignment horizontal="left" shrinkToFit="0" vertical="center" wrapText="1"/>
    </xf>
    <xf borderId="9" fillId="0" fontId="7" numFmtId="0" xfId="0" applyAlignment="1" applyBorder="1" applyFont="1">
      <alignment horizontal="left" shrinkToFit="0" vertical="center" wrapText="1"/>
    </xf>
    <xf borderId="6" fillId="4" fontId="7" numFmtId="0" xfId="0" applyAlignment="1" applyBorder="1" applyFill="1" applyFont="1">
      <alignment horizontal="left" shrinkToFit="0" vertical="center" wrapText="1"/>
    </xf>
    <xf borderId="13" fillId="0" fontId="9" numFmtId="0" xfId="0" applyBorder="1" applyFont="1"/>
    <xf borderId="0" fillId="0" fontId="10" numFmtId="0" xfId="0" applyFont="1"/>
    <xf borderId="0" fillId="0" fontId="10" numFmtId="49" xfId="0" applyFont="1" applyNumberFormat="1"/>
    <xf borderId="0" fillId="0" fontId="10" numFmtId="9" xfId="0" applyFont="1" applyNumberFormat="1"/>
  </cellXfs>
  <cellStyles count="1">
    <cellStyle xfId="0" name="Normal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0"/>
    <col customWidth="1" min="2" max="2" width="32.0"/>
    <col customWidth="1" min="3" max="3" width="22.0"/>
    <col customWidth="1" min="4" max="4" width="20.0"/>
    <col customWidth="1" min="5" max="5" width="10.0"/>
    <col customWidth="1" min="6" max="6" width="24.0"/>
    <col customWidth="1" min="7" max="7" width="22.0"/>
    <col customWidth="1" min="8" max="8" width="12.0"/>
    <col customWidth="1" min="9" max="26" width="13.44"/>
  </cols>
  <sheetData>
    <row r="1" ht="30.0" customHeight="1">
      <c r="A1" s="1" t="s">
        <v>0</v>
      </c>
    </row>
    <row r="2" ht="15.75" customHeight="1">
      <c r="A2" s="2" t="s">
        <v>1</v>
      </c>
      <c r="B2" s="3">
        <v>105.0</v>
      </c>
      <c r="C2" s="4"/>
      <c r="D2" s="5"/>
      <c r="E2" s="6"/>
      <c r="F2" s="7"/>
      <c r="G2" s="7"/>
      <c r="H2" s="7"/>
    </row>
    <row r="3" ht="17.25" customHeight="1">
      <c r="A3" s="8" t="s">
        <v>2</v>
      </c>
      <c r="B3" s="2" t="s">
        <v>3</v>
      </c>
      <c r="C3" s="5"/>
      <c r="D3" s="5"/>
      <c r="E3" s="6"/>
      <c r="F3" s="6"/>
      <c r="G3" s="6"/>
      <c r="H3" s="6"/>
    </row>
    <row r="4" ht="17.25" customHeight="1">
      <c r="A4" s="8" t="s">
        <v>4</v>
      </c>
      <c r="B4" s="2" t="s">
        <v>5</v>
      </c>
      <c r="C4" s="5"/>
      <c r="D4" s="5"/>
      <c r="E4" s="6"/>
      <c r="F4" s="6"/>
      <c r="G4" s="6"/>
      <c r="H4" s="6"/>
    </row>
    <row r="5" ht="16.5" customHeight="1">
      <c r="A5" s="8" t="s">
        <v>6</v>
      </c>
      <c r="B5" s="2" t="s">
        <v>7</v>
      </c>
      <c r="C5" s="5"/>
      <c r="D5" s="5"/>
      <c r="E5" s="6"/>
      <c r="F5" s="6"/>
      <c r="G5" s="6"/>
      <c r="H5" s="6"/>
    </row>
    <row r="6" ht="12.0" customHeight="1">
      <c r="A6" s="9"/>
      <c r="B6" s="5"/>
      <c r="C6" s="5"/>
      <c r="D6" s="5"/>
      <c r="E6" s="6"/>
      <c r="F6" s="6"/>
      <c r="G6" s="6"/>
      <c r="H6" s="6"/>
    </row>
    <row r="7" ht="54.0" customHeight="1">
      <c r="A7" s="10" t="s">
        <v>8</v>
      </c>
      <c r="B7" s="11" t="s">
        <v>9</v>
      </c>
      <c r="C7" s="11" t="s">
        <v>10</v>
      </c>
      <c r="D7" s="12" t="s">
        <v>11</v>
      </c>
      <c r="E7" s="13" t="s">
        <v>12</v>
      </c>
      <c r="F7" s="13" t="s">
        <v>13</v>
      </c>
      <c r="G7" s="14" t="s">
        <v>14</v>
      </c>
      <c r="H7" s="14" t="s">
        <v>15</v>
      </c>
    </row>
    <row r="8" ht="24.75" customHeight="1">
      <c r="A8" s="15"/>
      <c r="B8" s="4" t="s">
        <v>16</v>
      </c>
      <c r="C8" s="4" t="s">
        <v>17</v>
      </c>
      <c r="D8" s="4" t="s">
        <v>18</v>
      </c>
      <c r="E8" s="7">
        <v>1.0</v>
      </c>
      <c r="F8" s="7">
        <v>100.0</v>
      </c>
      <c r="G8" s="16">
        <f t="shared" ref="G8:G12" si="1">E8*F8</f>
        <v>100</v>
      </c>
      <c r="H8" s="17" t="s">
        <v>19</v>
      </c>
    </row>
    <row r="9" ht="13.5" customHeight="1">
      <c r="A9" s="15"/>
      <c r="B9" s="18" t="s">
        <v>20</v>
      </c>
      <c r="C9" s="18" t="s">
        <v>21</v>
      </c>
      <c r="D9" s="18" t="s">
        <v>22</v>
      </c>
      <c r="E9" s="19">
        <v>1.0</v>
      </c>
      <c r="F9" s="19">
        <v>0.55</v>
      </c>
      <c r="G9" s="16">
        <f t="shared" si="1"/>
        <v>0.55</v>
      </c>
      <c r="H9" s="17" t="s">
        <v>19</v>
      </c>
    </row>
    <row r="10" ht="13.5" customHeight="1">
      <c r="A10" s="15"/>
      <c r="B10" s="4" t="s">
        <v>23</v>
      </c>
      <c r="C10" s="4" t="s">
        <v>24</v>
      </c>
      <c r="D10" s="4" t="s">
        <v>25</v>
      </c>
      <c r="E10" s="7">
        <v>1.0</v>
      </c>
      <c r="F10" s="7">
        <v>0.68</v>
      </c>
      <c r="G10" s="16">
        <f t="shared" si="1"/>
        <v>0.68</v>
      </c>
      <c r="H10" s="17" t="s">
        <v>19</v>
      </c>
    </row>
    <row r="11" ht="13.5" customHeight="1">
      <c r="A11" s="15"/>
      <c r="B11" s="4" t="s">
        <v>26</v>
      </c>
      <c r="C11" s="4" t="s">
        <v>27</v>
      </c>
      <c r="D11" s="4" t="s">
        <v>28</v>
      </c>
      <c r="E11" s="7">
        <v>1.0</v>
      </c>
      <c r="F11" s="7">
        <v>300.0</v>
      </c>
      <c r="G11" s="16">
        <f t="shared" si="1"/>
        <v>300</v>
      </c>
      <c r="H11" s="17" t="s">
        <v>19</v>
      </c>
    </row>
    <row r="12" ht="13.5" customHeight="1">
      <c r="A12" s="15"/>
      <c r="B12" s="4" t="s">
        <v>29</v>
      </c>
      <c r="C12" s="4" t="s">
        <v>30</v>
      </c>
      <c r="D12" s="4" t="s">
        <v>31</v>
      </c>
      <c r="E12" s="7">
        <v>3.0</v>
      </c>
      <c r="F12" s="7">
        <v>5.0</v>
      </c>
      <c r="G12" s="16">
        <f t="shared" si="1"/>
        <v>15</v>
      </c>
      <c r="H12" s="17" t="s">
        <v>19</v>
      </c>
    </row>
    <row r="13" ht="13.5" customHeight="1">
      <c r="A13" s="15"/>
      <c r="B13" s="20" t="s">
        <v>32</v>
      </c>
      <c r="G13" s="16">
        <f>SUM(G8:G12)</f>
        <v>416.23</v>
      </c>
      <c r="H13" s="17" t="s">
        <v>19</v>
      </c>
    </row>
    <row r="14" ht="18.0" customHeight="1">
      <c r="A14" s="15"/>
      <c r="B14" s="20" t="s">
        <v>33</v>
      </c>
      <c r="G14" s="21">
        <v>0.25</v>
      </c>
      <c r="H14" s="21"/>
    </row>
    <row r="15" ht="12.0" customHeight="1">
      <c r="A15" s="22"/>
      <c r="B15" s="23" t="s">
        <v>34</v>
      </c>
      <c r="G15" s="16">
        <f>G13*(1+G14)</f>
        <v>520.2875</v>
      </c>
      <c r="H15" s="17" t="s">
        <v>19</v>
      </c>
    </row>
    <row r="16" ht="29.25" customHeight="1">
      <c r="A16" s="24"/>
      <c r="B16" s="18"/>
      <c r="C16" s="18"/>
      <c r="D16" s="18"/>
      <c r="E16" s="19"/>
      <c r="F16" s="19"/>
      <c r="G16" s="16"/>
      <c r="H16" s="16"/>
    </row>
    <row r="17" ht="48.0" customHeight="1">
      <c r="A17" s="24" t="s">
        <v>35</v>
      </c>
      <c r="B17" s="18" t="s">
        <v>36</v>
      </c>
      <c r="C17" s="18" t="s">
        <v>37</v>
      </c>
      <c r="D17" s="18" t="s">
        <v>38</v>
      </c>
      <c r="E17" s="19">
        <v>1.0</v>
      </c>
      <c r="F17" s="19">
        <v>1000.0</v>
      </c>
      <c r="G17" s="16">
        <f>E17*F17</f>
        <v>1000</v>
      </c>
      <c r="H17" s="17" t="s">
        <v>19</v>
      </c>
    </row>
    <row r="18" ht="17.25" customHeight="1">
      <c r="A18" s="25"/>
      <c r="B18" s="26" t="s">
        <v>39</v>
      </c>
      <c r="C18" s="27"/>
      <c r="D18" s="27"/>
      <c r="E18" s="27"/>
      <c r="F18" s="27"/>
      <c r="G18" s="16">
        <f>G17-G15</f>
        <v>479.7125</v>
      </c>
      <c r="H18" s="17" t="s">
        <v>19</v>
      </c>
    </row>
    <row r="19" ht="45.75" customHeight="1">
      <c r="A19" s="10" t="s">
        <v>40</v>
      </c>
      <c r="B19" s="11" t="s">
        <v>9</v>
      </c>
      <c r="C19" s="11" t="s">
        <v>10</v>
      </c>
      <c r="D19" s="12" t="s">
        <v>11</v>
      </c>
      <c r="E19" s="13" t="s">
        <v>41</v>
      </c>
      <c r="F19" s="13" t="s">
        <v>13</v>
      </c>
      <c r="G19" s="14" t="s">
        <v>14</v>
      </c>
      <c r="H19" s="14" t="s">
        <v>15</v>
      </c>
    </row>
    <row r="20" ht="13.5" customHeight="1">
      <c r="A20" s="28" t="s">
        <v>42</v>
      </c>
      <c r="B20" s="18" t="s">
        <v>43</v>
      </c>
      <c r="C20" s="18" t="s">
        <v>44</v>
      </c>
      <c r="D20" s="18" t="s">
        <v>45</v>
      </c>
      <c r="E20" s="19" t="s">
        <v>46</v>
      </c>
      <c r="F20" s="19">
        <v>1000.0</v>
      </c>
      <c r="G20" s="17">
        <v>1000.0</v>
      </c>
      <c r="H20" s="29" t="s">
        <v>19</v>
      </c>
    </row>
    <row r="21" ht="13.5" customHeight="1">
      <c r="A21" s="28"/>
      <c r="B21" s="18"/>
      <c r="C21" s="18"/>
      <c r="D21" s="18"/>
      <c r="E21" s="19"/>
      <c r="F21" s="19"/>
      <c r="G21" s="16"/>
      <c r="H21" s="29"/>
    </row>
    <row r="22" ht="13.5" customHeight="1">
      <c r="A22" s="28" t="s">
        <v>47</v>
      </c>
      <c r="B22" s="18" t="s">
        <v>36</v>
      </c>
      <c r="C22" s="18" t="s">
        <v>37</v>
      </c>
      <c r="D22" s="18" t="s">
        <v>38</v>
      </c>
      <c r="E22" s="19">
        <v>1.0</v>
      </c>
      <c r="F22" s="19">
        <v>1000.0</v>
      </c>
      <c r="G22" s="16">
        <f t="shared" ref="G22:G24" si="2">G15</f>
        <v>520.2875</v>
      </c>
      <c r="H22" s="17" t="s">
        <v>19</v>
      </c>
    </row>
    <row r="23" ht="13.5" customHeight="1">
      <c r="A23" s="30"/>
      <c r="B23" s="18"/>
      <c r="C23" s="18"/>
      <c r="D23" s="18"/>
      <c r="E23" s="19"/>
      <c r="F23" s="19"/>
      <c r="G23" s="16" t="str">
        <f t="shared" si="2"/>
        <v/>
      </c>
      <c r="H23" s="17" t="s">
        <v>19</v>
      </c>
    </row>
    <row r="24" ht="13.5" customHeight="1">
      <c r="A24" s="30"/>
      <c r="B24" s="18"/>
      <c r="C24" s="4"/>
      <c r="D24" s="18"/>
      <c r="E24" s="7"/>
      <c r="F24" s="7"/>
      <c r="G24" s="16">
        <f t="shared" si="2"/>
        <v>1000</v>
      </c>
      <c r="H24" s="17" t="s">
        <v>19</v>
      </c>
    </row>
    <row r="25" ht="16.5" customHeight="1">
      <c r="A25" s="28"/>
      <c r="B25" s="31" t="s">
        <v>48</v>
      </c>
      <c r="G25" s="17">
        <f>G20-SUM(G22:G24)</f>
        <v>-520.2875</v>
      </c>
      <c r="H25" s="29" t="s">
        <v>19</v>
      </c>
    </row>
    <row r="26" ht="12.0" customHeight="1">
      <c r="A26" s="24"/>
      <c r="B26" s="18"/>
      <c r="C26" s="18"/>
      <c r="D26" s="18"/>
      <c r="E26" s="19"/>
      <c r="F26" s="19"/>
      <c r="G26" s="16"/>
      <c r="H26" s="16"/>
    </row>
    <row r="27" ht="13.5" customHeight="1">
      <c r="A27" s="24"/>
      <c r="B27" s="18"/>
      <c r="C27" s="18"/>
      <c r="D27" s="18"/>
      <c r="E27" s="19"/>
      <c r="F27" s="19"/>
      <c r="G27" s="16"/>
      <c r="H27" s="17"/>
    </row>
    <row r="28" ht="16.5" customHeight="1">
      <c r="A28" s="25"/>
      <c r="B28" s="26"/>
      <c r="C28" s="27"/>
      <c r="D28" s="27"/>
      <c r="E28" s="27"/>
      <c r="F28" s="27"/>
      <c r="G28" s="16"/>
      <c r="H28" s="17"/>
    </row>
    <row r="29" ht="33.0" customHeight="1">
      <c r="A29" s="32" t="s">
        <v>49</v>
      </c>
      <c r="B29" s="33"/>
      <c r="C29" s="33"/>
      <c r="D29" s="33"/>
      <c r="E29" s="33"/>
      <c r="F29" s="34"/>
      <c r="G29" s="35"/>
      <c r="H29" s="35"/>
    </row>
    <row r="30" ht="13.5" customHeight="1">
      <c r="A30" s="36" t="s">
        <v>50</v>
      </c>
      <c r="B30" s="33"/>
      <c r="C30" s="33"/>
      <c r="D30" s="33"/>
      <c r="E30" s="33"/>
      <c r="F30" s="33"/>
      <c r="G30" s="33"/>
      <c r="H30" s="34"/>
    </row>
    <row r="31" ht="13.5" customHeight="1">
      <c r="A31" s="37" t="s">
        <v>51</v>
      </c>
      <c r="B31" s="27"/>
      <c r="C31" s="27"/>
      <c r="D31" s="27"/>
      <c r="E31" s="27"/>
      <c r="F31" s="27"/>
      <c r="G31" s="27"/>
      <c r="H31" s="38"/>
    </row>
    <row r="32" ht="13.5" customHeight="1"/>
    <row r="33" ht="13.5" customHeight="1"/>
    <row r="34" ht="13.5" customHeight="1"/>
    <row r="35" ht="13.5" customHeight="1"/>
    <row r="36" ht="13.5" customHeight="1"/>
    <row r="37" ht="16.5" customHeight="1"/>
    <row r="38" ht="12.0" customHeight="1"/>
    <row r="39" ht="13.5" customHeight="1"/>
    <row r="40" ht="16.5" customHeight="1"/>
    <row r="41" ht="51.7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6.5" customHeight="1">
      <c r="A48" s="39"/>
      <c r="B48" s="39"/>
      <c r="C48" s="39"/>
      <c r="D48" s="39"/>
      <c r="E48" s="39"/>
      <c r="F48" s="39"/>
      <c r="G48" s="39"/>
      <c r="H48" s="39"/>
    </row>
    <row r="49" ht="12.0" customHeight="1">
      <c r="A49" s="39"/>
      <c r="B49" s="39"/>
      <c r="C49" s="39"/>
      <c r="D49" s="39"/>
      <c r="E49" s="39"/>
      <c r="F49" s="39"/>
      <c r="G49" s="39"/>
      <c r="H49" s="39"/>
    </row>
    <row r="50" ht="13.5" customHeight="1">
      <c r="A50" s="39"/>
      <c r="B50" s="39"/>
      <c r="C50" s="39"/>
      <c r="D50" s="39"/>
      <c r="E50" s="39"/>
      <c r="F50" s="39"/>
      <c r="G50" s="39"/>
      <c r="H50" s="39"/>
    </row>
    <row r="51" ht="16.5" customHeight="1">
      <c r="A51" s="39"/>
      <c r="B51" s="40"/>
      <c r="C51" s="40"/>
      <c r="D51" s="40"/>
      <c r="E51" s="40"/>
      <c r="F51" s="40"/>
      <c r="G51" s="39"/>
      <c r="H51" s="39"/>
    </row>
    <row r="52" ht="51.0" customHeight="1">
      <c r="A52" s="39"/>
      <c r="B52" s="39"/>
      <c r="C52" s="39"/>
      <c r="D52" s="39"/>
      <c r="E52" s="39"/>
      <c r="F52" s="39"/>
      <c r="G52" s="39"/>
      <c r="H52" s="39"/>
    </row>
    <row r="53" ht="13.5" customHeight="1">
      <c r="A53" s="39"/>
      <c r="B53" s="39"/>
      <c r="C53" s="39"/>
      <c r="D53" s="39"/>
      <c r="E53" s="39"/>
      <c r="F53" s="39"/>
      <c r="G53" s="39"/>
      <c r="H53" s="39"/>
    </row>
    <row r="54" ht="13.5" customHeight="1">
      <c r="A54" s="39"/>
      <c r="B54" s="39"/>
      <c r="C54" s="39"/>
      <c r="D54" s="39"/>
      <c r="E54" s="39"/>
      <c r="F54" s="39"/>
      <c r="G54" s="39"/>
      <c r="H54" s="39"/>
    </row>
    <row r="55" ht="13.5" customHeight="1">
      <c r="A55" s="39"/>
      <c r="B55" s="39"/>
      <c r="C55" s="39"/>
      <c r="D55" s="39"/>
      <c r="E55" s="39"/>
      <c r="F55" s="39"/>
      <c r="G55" s="39"/>
      <c r="H55" s="39"/>
    </row>
    <row r="56" ht="13.5" customHeight="1">
      <c r="A56" s="39"/>
      <c r="B56" s="39"/>
      <c r="C56" s="39"/>
      <c r="D56" s="39"/>
      <c r="E56" s="39"/>
      <c r="F56" s="39"/>
      <c r="G56" s="39"/>
      <c r="H56" s="39"/>
    </row>
    <row r="57" ht="13.5" customHeight="1">
      <c r="A57" s="39"/>
      <c r="B57" s="39"/>
      <c r="C57" s="39"/>
      <c r="D57" s="39"/>
      <c r="E57" s="39"/>
      <c r="F57" s="39"/>
      <c r="G57" s="39"/>
      <c r="H57" s="39"/>
    </row>
    <row r="58" ht="13.5" customHeight="1">
      <c r="A58" s="39"/>
      <c r="B58" s="39"/>
      <c r="C58" s="39"/>
      <c r="D58" s="39"/>
      <c r="E58" s="39"/>
      <c r="F58" s="39"/>
      <c r="G58" s="41"/>
      <c r="H58" s="41"/>
    </row>
    <row r="59" ht="16.5" customHeight="1">
      <c r="A59" s="39"/>
      <c r="B59" s="39"/>
      <c r="C59" s="39"/>
      <c r="D59" s="39"/>
      <c r="E59" s="39"/>
      <c r="F59" s="39"/>
      <c r="G59" s="39"/>
      <c r="H59" s="39"/>
    </row>
    <row r="60" ht="12.0" customHeight="1">
      <c r="A60" s="39"/>
      <c r="B60" s="39"/>
      <c r="C60" s="39"/>
      <c r="D60" s="39"/>
      <c r="E60" s="39"/>
      <c r="F60" s="39"/>
      <c r="G60" s="39"/>
      <c r="H60" s="39"/>
    </row>
    <row r="61" ht="29.25" customHeight="1">
      <c r="A61" s="39"/>
      <c r="B61" s="39"/>
      <c r="C61" s="39"/>
      <c r="D61" s="39"/>
      <c r="E61" s="39"/>
      <c r="F61" s="39"/>
      <c r="G61" s="39"/>
      <c r="H61" s="39"/>
    </row>
    <row r="62" ht="16.5" customHeight="1">
      <c r="A62" s="39"/>
      <c r="B62" s="40"/>
      <c r="C62" s="40"/>
      <c r="D62" s="40"/>
      <c r="E62" s="40"/>
      <c r="F62" s="40"/>
      <c r="G62" s="39"/>
      <c r="H62" s="39"/>
    </row>
    <row r="63" ht="12.0" customHeight="1">
      <c r="A63" s="39"/>
      <c r="B63" s="39"/>
      <c r="C63" s="39"/>
      <c r="D63" s="39"/>
      <c r="E63" s="39"/>
      <c r="F63" s="39"/>
      <c r="G63" s="39"/>
      <c r="H63" s="39"/>
    </row>
    <row r="64" ht="42.0" customHeight="1">
      <c r="A64" s="39"/>
      <c r="B64" s="39"/>
      <c r="C64" s="39"/>
      <c r="D64" s="39"/>
      <c r="E64" s="39"/>
      <c r="F64" s="39"/>
      <c r="G64" s="39"/>
      <c r="H64" s="39"/>
    </row>
    <row r="65" ht="14.25" customHeight="1">
      <c r="A65" s="39"/>
      <c r="B65" s="39"/>
      <c r="C65" s="39"/>
      <c r="D65" s="39"/>
      <c r="E65" s="39"/>
      <c r="F65" s="39"/>
      <c r="G65" s="39"/>
      <c r="H65" s="39"/>
    </row>
    <row r="66" ht="48.75" customHeight="1">
      <c r="A66" s="39"/>
      <c r="B66" s="39"/>
      <c r="C66" s="39"/>
      <c r="D66" s="39"/>
      <c r="E66" s="39"/>
      <c r="F66" s="39"/>
      <c r="G66" s="39"/>
      <c r="H66" s="39"/>
    </row>
    <row r="67" ht="57.0" customHeight="1"/>
    <row r="68" ht="41.25" customHeight="1"/>
    <row r="69" ht="12.0" customHeight="1"/>
    <row r="70" ht="16.5" customHeight="1"/>
    <row r="71" ht="13.5" customHeight="1"/>
    <row r="72" ht="13.5" customHeight="1"/>
    <row r="73" ht="23.25" customHeight="1"/>
    <row r="74" ht="12.0" customHeight="1"/>
    <row r="75" ht="50.25" customHeight="1">
      <c r="A75" s="39"/>
      <c r="B75" s="39"/>
      <c r="C75" s="39"/>
      <c r="D75" s="39"/>
      <c r="E75" s="39"/>
      <c r="F75" s="39"/>
      <c r="G75" s="39"/>
      <c r="H75" s="39"/>
    </row>
    <row r="76" ht="36.0" customHeight="1">
      <c r="A76" s="39"/>
      <c r="B76" s="39"/>
      <c r="C76" s="39"/>
      <c r="D76" s="39"/>
      <c r="E76" s="39"/>
      <c r="F76" s="39"/>
      <c r="G76" s="39"/>
      <c r="H76" s="39"/>
    </row>
    <row r="77" ht="12.0" customHeight="1">
      <c r="A77" s="39"/>
      <c r="B77" s="39"/>
      <c r="C77" s="39"/>
      <c r="D77" s="39"/>
      <c r="E77" s="39"/>
      <c r="F77" s="39"/>
      <c r="G77" s="39"/>
      <c r="H77" s="39"/>
    </row>
    <row r="78" ht="16.5" customHeight="1">
      <c r="A78" s="39"/>
      <c r="B78" s="39"/>
      <c r="C78" s="39"/>
      <c r="D78" s="39"/>
      <c r="E78" s="39"/>
      <c r="F78" s="39"/>
      <c r="G78" s="39"/>
      <c r="H78" s="39"/>
    </row>
    <row r="79" ht="13.5" customHeight="1">
      <c r="A79" s="39"/>
      <c r="B79" s="39"/>
      <c r="C79" s="39"/>
      <c r="D79" s="39"/>
      <c r="E79" s="39"/>
      <c r="F79" s="39"/>
      <c r="G79" s="39"/>
      <c r="H79" s="39"/>
    </row>
    <row r="80" ht="17.25" customHeight="1">
      <c r="A80" s="39"/>
      <c r="B80" s="39"/>
      <c r="C80" s="39"/>
      <c r="D80" s="39"/>
      <c r="E80" s="39"/>
      <c r="F80" s="39"/>
      <c r="G80" s="39"/>
      <c r="H80" s="39"/>
    </row>
    <row r="81" ht="16.5" customHeight="1">
      <c r="A81" s="39"/>
      <c r="B81" s="40"/>
      <c r="C81" s="40"/>
      <c r="D81" s="40"/>
      <c r="E81" s="40"/>
      <c r="F81" s="40"/>
      <c r="G81" s="39"/>
      <c r="H81" s="39"/>
    </row>
    <row r="82" ht="12.0" customHeight="1">
      <c r="A82" s="39"/>
      <c r="B82" s="39"/>
      <c r="C82" s="39"/>
      <c r="D82" s="39"/>
      <c r="E82" s="39"/>
      <c r="F82" s="39"/>
      <c r="G82" s="39"/>
      <c r="H82" s="39"/>
    </row>
    <row r="83" ht="27.0" customHeight="1">
      <c r="A83" s="39"/>
      <c r="B83" s="39"/>
      <c r="C83" s="39"/>
      <c r="D83" s="39"/>
      <c r="E83" s="39"/>
      <c r="F83" s="39"/>
      <c r="G83" s="39"/>
      <c r="H83" s="39"/>
    </row>
    <row r="84" ht="43.5" customHeight="1">
      <c r="A84" s="39"/>
      <c r="B84" s="39"/>
      <c r="C84" s="39"/>
      <c r="D84" s="39"/>
      <c r="E84" s="39"/>
      <c r="F84" s="39"/>
      <c r="G84" s="39"/>
      <c r="H84" s="39"/>
    </row>
    <row r="85" ht="12.0" customHeight="1">
      <c r="A85" s="39"/>
      <c r="B85" s="39"/>
      <c r="C85" s="39"/>
      <c r="D85" s="39"/>
      <c r="E85" s="39"/>
      <c r="F85" s="39"/>
      <c r="G85" s="39"/>
      <c r="H85" s="39"/>
    </row>
    <row r="86" ht="16.5" customHeight="1">
      <c r="A86" s="39"/>
      <c r="B86" s="39"/>
      <c r="C86" s="39"/>
      <c r="D86" s="39"/>
      <c r="E86" s="39"/>
      <c r="F86" s="39"/>
      <c r="G86" s="39"/>
      <c r="H86" s="39"/>
    </row>
    <row r="87" ht="13.5" customHeight="1"/>
    <row r="88" ht="18.75" customHeight="1"/>
    <row r="89" ht="18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28:F28"/>
    <mergeCell ref="A30:H30"/>
    <mergeCell ref="A29:F29"/>
    <mergeCell ref="A31:H31"/>
    <mergeCell ref="A1:H1"/>
    <mergeCell ref="B13:F13"/>
    <mergeCell ref="B14:F14"/>
    <mergeCell ref="B15:F15"/>
    <mergeCell ref="B18:F18"/>
    <mergeCell ref="A22:A24"/>
    <mergeCell ref="B25:F25"/>
  </mergeCells>
  <conditionalFormatting sqref="G18 G28">
    <cfRule type="cellIs" dxfId="0" priority="1" operator="lessThan">
      <formula>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